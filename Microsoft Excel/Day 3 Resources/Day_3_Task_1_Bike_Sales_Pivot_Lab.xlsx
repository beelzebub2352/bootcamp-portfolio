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stIT\Day 3 Resources\"/>
    </mc:Choice>
  </mc:AlternateContent>
  <xr:revisionPtr revIDLastSave="0" documentId="13_ncr:1_{CA33A965-364B-4E5B-B49B-1E275913FC13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Bike Sales" sheetId="1" r:id="rId1"/>
    <sheet name="Bike Sales (2)" sheetId="2" r:id="rId2"/>
    <sheet name="PIVOT TABLE" sheetId="4" r:id="rId3"/>
    <sheet name="Day3Task2" sheetId="5" r:id="rId4"/>
    <sheet name="Task2PIVOT" sheetId="6" r:id="rId5"/>
    <sheet name="Day3Task2 (2)" sheetId="9" r:id="rId6"/>
  </sheets>
  <definedNames>
    <definedName name="_xlnm._FilterDatabase" localSheetId="0" hidden="1">'Bike Sales'!$A$1:$S$89</definedName>
    <definedName name="_xlnm._FilterDatabase" localSheetId="1" hidden="1">'Bike Sales (2)'!$A$1:$S$89</definedName>
  </definedNames>
  <calcPr calcId="191028"/>
  <pivotCaches>
    <pivotCache cacheId="0" r:id="rId7"/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9" l="1" a="1"/>
  <c r="D3" i="9" s="1"/>
  <c r="D4" i="9" a="1"/>
  <c r="D4" i="9" s="1"/>
  <c r="D5" i="9" a="1"/>
  <c r="D5" i="9" s="1"/>
  <c r="D6" i="9" a="1"/>
  <c r="D6" i="9" s="1"/>
  <c r="D7" i="9" a="1"/>
  <c r="D7" i="9" s="1"/>
  <c r="D8" i="9" a="1"/>
  <c r="D8" i="9" s="1"/>
  <c r="D9" i="9" a="1"/>
  <c r="D9" i="9" s="1"/>
  <c r="D10" i="9" a="1"/>
  <c r="D10" i="9" s="1"/>
  <c r="D11" i="9" a="1"/>
  <c r="D11" i="9"/>
  <c r="D12" i="9" a="1"/>
  <c r="D12" i="9" s="1"/>
  <c r="D13" i="9" a="1"/>
  <c r="D13" i="9" s="1"/>
  <c r="D2" i="9" a="1"/>
  <c r="D2" i="9" s="1"/>
  <c r="S89" i="2"/>
  <c r="R89" i="2"/>
  <c r="S88" i="2"/>
  <c r="R88" i="2"/>
  <c r="S87" i="2"/>
  <c r="R87" i="2"/>
  <c r="S86" i="2"/>
  <c r="R86" i="2"/>
  <c r="S85" i="2"/>
  <c r="R85" i="2"/>
  <c r="S84" i="2"/>
  <c r="R84" i="2"/>
  <c r="S83" i="2"/>
  <c r="R83" i="2"/>
  <c r="S82" i="2"/>
  <c r="R82" i="2"/>
  <c r="S81" i="2"/>
  <c r="R81" i="2"/>
  <c r="S80" i="2"/>
  <c r="R80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S2" i="2"/>
  <c r="R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<sst xmlns="http://schemas.openxmlformats.org/spreadsheetml/2006/main" count="1712" uniqueCount="175">
  <si>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</si>
  <si>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</si>
  <si>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</si>
  <si>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</si>
  <si>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</si>
  <si>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</si>
  <si>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</si>
  <si>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</si>
  <si>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</si>
  <si>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</si>
  <si>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</si>
  <si>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</si>
  <si>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</si>
  <si>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</si>
  <si>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</si>
  <si>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</si>
  <si>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</si>
  <si>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</si>
  <si>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</si>
  <si>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</si>
  <si>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</si>
  <si>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</si>
  <si>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</si>
  <si>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</si>
  <si>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</si>
  <si>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</si>
  <si>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</si>
  <si>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</si>
  <si>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</si>
  <si>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</si>
  <si>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</si>
  <si>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</si>
  <si>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</si>
  <si>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</si>
  <si>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</si>
  <si>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</si>
  <si>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</si>
  <si>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</si>
  <si>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</si>
  <si>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</si>
  <si>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</si>
  <si>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</si>
  <si>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</si>
  <si>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</si>
  <si>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</si>
  <si>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</si>
  <si>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</si>
  <si>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</si>
  <si>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</si>
  <si>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</si>
  <si>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</si>
  <si>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</si>
  <si>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</si>
  <si>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</si>
  <si>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</si>
  <si>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</si>
  <si>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</si>
  <si>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</si>
  <si>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</si>
  <si>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</si>
  <si>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</si>
  <si>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</si>
  <si>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</si>
  <si>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</si>
  <si>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</si>
  <si>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</si>
  <si>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</si>
  <si>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</si>
  <si>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</si>
  <si>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</si>
  <si>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</si>
  <si>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</si>
  <si>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</si>
  <si>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</si>
  <si>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</si>
  <si>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</si>
  <si>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</si>
  <si>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</si>
  <si>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</si>
  <si>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</si>
  <si>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</si>
  <si>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</si>
  <si>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</si>
  <si>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</si>
  <si>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</si>
  <si>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</si>
  <si>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</si>
  <si>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</si>
  <si>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</si>
  <si>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</si>
  <si>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</si>
  <si>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</si>
  <si>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</si>
  <si>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</si>
  <si>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</si>
  <si>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</si>
  <si>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</si>
  <si>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</si>
  <si>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</si>
  <si>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</si>
  <si>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</si>
  <si>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</si>
  <si>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</si>
  <si>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</si>
  <si>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</si>
  <si>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</si>
  <si>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</si>
  <si>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</si>
  <si>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</si>
  <si>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</si>
  <si>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</si>
  <si>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</si>
  <si>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</si>
  <si>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</si>
  <si>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</si>
  <si>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</si>
  <si>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</si>
  <si>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</si>
  <si>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</si>
  <si>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</si>
  <si>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</si>
  <si>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</si>
  <si>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</si>
  <si>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</si>
  <si>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</si>
  <si>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</si>
  <si>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</si>
  <si>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</si>
  <si>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</si>
  <si>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</si>
  <si>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</si>
  <si>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</si>
  <si>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</si>
  <si>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</si>
  <si>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</si>
  <si>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</si>
  <si>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</si>
  <si>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</si>
  <si>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</si>
  <si>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</si>
  <si>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</si>
  <si>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</si>
  <si>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</si>
  <si>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</si>
  <si>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</si>
  <si>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</si>
  <si>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</si>
  <si>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</si>
  <si>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</si>
  <si>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</si>
  <si>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</si>
  <si>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</si>
  <si>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</si>
  <si>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</si>
  <si>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</si>
  <si>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</si>
  <si>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</si>
  <si>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</si>
  <si>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Grand Total</t>
  </si>
  <si>
    <t>Sum of Order_Quantity</t>
  </si>
  <si>
    <t>County</t>
  </si>
  <si>
    <t>Product</t>
  </si>
  <si>
    <t>Sales Volume</t>
  </si>
  <si>
    <t>Yorkshire</t>
  </si>
  <si>
    <t>Laptops</t>
  </si>
  <si>
    <t>Smartphones</t>
  </si>
  <si>
    <t>Cornwall</t>
  </si>
  <si>
    <t>Printers</t>
  </si>
  <si>
    <t>Lancashire</t>
  </si>
  <si>
    <t>Essex</t>
  </si>
  <si>
    <t>Durham</t>
  </si>
  <si>
    <t>Greater Manchester</t>
  </si>
  <si>
    <t>Products</t>
  </si>
  <si>
    <t>Total Sales Volume</t>
  </si>
  <si>
    <t>Task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</si>
</sst>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_);[Red]\(&quot;$&quot;#,##0.00\)"/>
    <numFmt numFmtId="165" formatCode="[$-F400]h:mm:ss\ AM/PM"/>
    <numFmt numFmtId="166" formatCode="_-[$$-409]* #,##0.00_ ;_-[$$-409]* \-#,##0.00\ ;_-[$$-409]* &quot;-&quot;??_ ;_-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4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165" fontId="16" fillId="0" borderId="0" xfId="0" applyNumberFormat="1" applyFont="1"/>
    <xf numFmtId="14" fontId="16" fillId="0" borderId="0" xfId="0" applyNumberFormat="1" applyFont="1"/>
    <xf numFmtId="166" fontId="16" fillId="0" borderId="0" xfId="0" applyNumberFormat="1" applyFont="1"/>
    <xf numFmtId="166" fontId="0" fillId="0" borderId="0" xfId="0" applyNumberFormat="1"/>
    <xf numFmtId="0" fontId="0" fillId="0" borderId="10" xfId="0" pivotButton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indent="1"/>
    </xf>
    <xf numFmtId="0" fontId="0" fillId="0" borderId="11" xfId="0" pivotButton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1" fillId="0" borderId="16" xfId="0" applyFont="1" applyBorder="1" applyAlignment="1">
      <alignment vertical="center" wrapText="1"/>
    </xf>
    <xf numFmtId="0" fontId="21" fillId="0" borderId="17" xfId="0" applyFont="1" applyBorder="1" applyAlignment="1">
      <alignment vertical="center" wrapText="1"/>
    </xf>
    <xf numFmtId="0" fontId="22" fillId="0" borderId="16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1" fillId="0" borderId="18" xfId="0" applyFont="1" applyBorder="1" applyAlignment="1">
      <alignment vertical="center" wrapText="1"/>
    </xf>
    <xf numFmtId="0" fontId="21" fillId="0" borderId="0" xfId="0" applyFont="1" applyBorder="1" applyAlignment="1">
      <alignment vertical="center" wrapText="1"/>
    </xf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0" fontId="22" fillId="0" borderId="1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medium">
          <color rgb="FFBFBFBF"/>
        </bottom>
      </border>
    </dxf>
    <dxf>
      <font>
        <b val="0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/>
        <top/>
        <bottom style="medium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bottom style="medium">
          <color rgb="FFBFBFBF"/>
        </bottom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BFBFBF"/>
        </right>
        <top/>
        <bottom style="medium">
          <color rgb="FFBFBFBF"/>
        </bottom>
        <vertical/>
        <horizontal/>
      </border>
    </dxf>
    <dxf>
      <border outline="0">
        <bottom style="medium">
          <color rgb="FFBFBFBF"/>
        </bottom>
      </border>
    </dxf>
    <dxf>
      <border outline="0">
        <left style="medium">
          <color rgb="FFBFBFBF"/>
        </left>
        <right style="medium">
          <color rgb="FFBFBFBF"/>
        </right>
        <top style="medium">
          <color rgb="FFBFBFBF"/>
        </top>
        <bottom style="medium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BFBFBF"/>
        </left>
        <right style="medium">
          <color rgb="FFBFBFBF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numFmt numFmtId="166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left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[Day_3_Task_1_Bike_Sales_Pivot_Lab.xlsx]PIVOT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TABLE'!$B$5:$B$14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4-4DA7-A597-3EFA6E7BE2C3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TABLE'!$C$5:$C$14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4-4DA7-A597-3EFA6E7BE2C3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TABLE'!$D$5:$D$14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A4-4DA7-A597-3EFA6E7BE2C3}"/>
            </c:ext>
          </c:extLst>
        </c:ser>
        <c:ser>
          <c:idx val="3"/>
          <c:order val="3"/>
          <c:tx>
            <c:strRef>
              <c:f>'PIVOT TABLE'!$E$3:$E$4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TABLE'!$E$5:$E$14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A4-4DA7-A597-3EFA6E7BE2C3}"/>
            </c:ext>
          </c:extLst>
        </c:ser>
        <c:ser>
          <c:idx val="4"/>
          <c:order val="4"/>
          <c:tx>
            <c:strRef>
              <c:f>'PIVOT TABLE'!$F$3:$F$4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A4-4DA7-A597-3EFA6E7BE2C3}"/>
            </c:ext>
          </c:extLst>
        </c:ser>
        <c:ser>
          <c:idx val="5"/>
          <c:order val="5"/>
          <c:tx>
            <c:strRef>
              <c:f>'PIVOT TABLE'!$G$3:$G$4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A4-4DA7-A597-3EFA6E7BE2C3}"/>
            </c:ext>
          </c:extLst>
        </c:ser>
        <c:ser>
          <c:idx val="6"/>
          <c:order val="6"/>
          <c:tx>
            <c:strRef>
              <c:f>'PIVOT TABLE'!$H$3:$H$4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27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A4-4DA7-A597-3EFA6E7BE2C3}"/>
            </c:ext>
          </c:extLst>
        </c:ser>
        <c:ser>
          <c:idx val="7"/>
          <c:order val="7"/>
          <c:tx>
            <c:strRef>
              <c:f>'PIVOT TABLE'!$I$3:$I$4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'PIVOT TABLE'!$I$5:$I$14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8A4-4DA7-A597-3EFA6E7BE2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24589839"/>
        <c:axId val="2024586959"/>
      </c:barChart>
      <c:catAx>
        <c:axId val="2024589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86959"/>
        <c:crosses val="autoZero"/>
        <c:auto val="1"/>
        <c:lblAlgn val="ctr"/>
        <c:lblOffset val="100"/>
        <c:noMultiLvlLbl val="0"/>
      </c:catAx>
      <c:valAx>
        <c:axId val="20245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89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26276</xdr:colOff>
      <xdr:row>2</xdr:row>
      <xdr:rowOff>6569</xdr:rowOff>
    </xdr:from>
    <xdr:to>
      <xdr:col>17</xdr:col>
      <xdr:colOff>597776</xdr:colOff>
      <xdr:row>22</xdr:row>
      <xdr:rowOff>157655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F72521-E38E-5D4D-012D-D589055BC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sei Red" refreshedDate="45910.63502858796" createdVersion="8" refreshedVersion="8" minRefreshableVersion="3" recordCount="88" xr:uid="{0C0DED69-4CBD-4CC1-8E11-C08F149FA696}">
  <cacheSource type="worksheet">
    <worksheetSource name="Table1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6">
      <sharedItems containsSemiMixedTypes="0" containsString="0" containsNumber="1" containsInteger="1" minValue="295" maxValue="1912"/>
    </cacheField>
    <cacheField name=" Unit_Price " numFmtId="166">
      <sharedItems containsSemiMixedTypes="0" containsString="0" containsNumber="1" containsInteger="1" minValue="540" maxValue="3400"/>
    </cacheField>
    <cacheField name=" Profit " numFmtId="166">
      <sharedItems containsSemiMixedTypes="0" containsString="0" containsNumber="1" containsInteger="1" minValue="245" maxValue="5908"/>
    </cacheField>
    <cacheField name=" Cost " numFmtId="166">
      <sharedItems containsSemiMixedTypes="0" containsString="0" containsNumber="1" containsInteger="1" minValue="295" maxValue="7592"/>
    </cacheField>
    <cacheField name="Revenue" numFmtId="166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sei Red" refreshedDate="45911.411375694443" createdVersion="8" refreshedVersion="8" minRefreshableVersion="3" recordCount="12" xr:uid="{85B747B7-D853-49B7-A7D6-CF6738DF81DE}">
  <cacheSource type="worksheet">
    <worksheetSource name="Table2"/>
  </cacheSource>
  <cacheFields count="3">
    <cacheField name="County" numFmtId="0">
      <sharedItems count="6">
        <s v="Yorkshire"/>
        <s v="Cornwall"/>
        <s v="Lancashire"/>
        <s v="Essex"/>
        <s v="Durham"/>
        <s v="Greater Manchester"/>
      </sharedItems>
    </cacheField>
    <cacheField name="Product" numFmtId="0">
      <sharedItems count="3">
        <s v="Laptops"/>
        <s v="Smartphones"/>
        <s v="Printers"/>
      </sharedItems>
    </cacheField>
    <cacheField name="Sales Volume" numFmtId="0">
      <sharedItems containsSemiMixedTypes="0" containsString="0" containsNumber="1" containsInteger="1" minValue="150" maxValue="800" count="9">
        <n v="500"/>
        <n v="200"/>
        <n v="700"/>
        <n v="400"/>
        <n v="150"/>
        <n v="600"/>
        <n v="800"/>
        <n v="300"/>
        <n v="2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0"/>
    <x v="1"/>
    <x v="1"/>
  </r>
  <r>
    <x v="1"/>
    <x v="0"/>
    <x v="2"/>
  </r>
  <r>
    <x v="1"/>
    <x v="2"/>
    <x v="3"/>
  </r>
  <r>
    <x v="2"/>
    <x v="1"/>
    <x v="4"/>
  </r>
  <r>
    <x v="2"/>
    <x v="0"/>
    <x v="5"/>
  </r>
  <r>
    <x v="3"/>
    <x v="2"/>
    <x v="6"/>
  </r>
  <r>
    <x v="3"/>
    <x v="1"/>
    <x v="7"/>
  </r>
  <r>
    <x v="4"/>
    <x v="0"/>
    <x v="8"/>
  </r>
  <r>
    <x v="4"/>
    <x v="2"/>
    <x v="7"/>
  </r>
  <r>
    <x v="5"/>
    <x v="1"/>
    <x v="5"/>
  </r>
  <r>
    <x v="5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80885-A753-4A7D-82B8-F1E1E67AD050}" name="PivotTable2" cacheId="0" applyNumberFormats="0" applyBorderFormats="0" applyFontFormats="0" applyPatternFormats="0" applyAlignmentFormats="0" applyWidthHeightFormats="1" dataCaption="Values" missingCaption="0" updatedVersion="8" minRefreshableVersion="3" useAutoFormatting="1" colGrandTotals="0" itemPrintTitles="1" createdVersion="8" indent="0" outline="1" outlineData="1" multipleFieldFilters="0" chartFormat="3" rowHeaderCaption="Age_Group" colHeaderCaption="Country">
  <location ref="A3:I14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sd="0" x="2"/>
        <item sd="0" x="6"/>
        <item sd="0" x="7"/>
        <item x="5"/>
        <item x="3"/>
        <item sd="0" x="1"/>
        <item sd="0" x="0"/>
        <item x="4"/>
        <item t="default"/>
      </items>
    </pivotField>
    <pivotField showAll="0"/>
    <pivotField showAll="0"/>
    <pivotField showAll="0"/>
    <pivotField showAll="0"/>
    <pivotField dataField="1" showAll="0"/>
    <pivotField numFmtId="166" showAll="0"/>
    <pivotField numFmtId="166" showAll="0"/>
    <pivotField numFmtId="166" showAll="0"/>
    <pivotField numFmtId="166" showAll="0"/>
    <pivotField numFmtId="166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Sum of Order_Quantity" fld="13" baseField="0" baseItem="0"/>
  </dataFields>
  <formats count="19">
    <format dxfId="34">
      <pivotArea type="all" dataOnly="0" outline="0" fieldPosition="0"/>
    </format>
    <format dxfId="33">
      <pivotArea outline="0" collapsedLevelsAreSubtotals="1" fieldPosition="0"/>
    </format>
    <format dxfId="32">
      <pivotArea type="origin" dataOnly="0" labelOnly="1" outline="0" fieldPosition="0"/>
    </format>
    <format dxfId="31">
      <pivotArea field="6" type="button" dataOnly="0" labelOnly="1" outline="0" axis="axisRow" fieldPosition="0"/>
    </format>
    <format dxfId="30">
      <pivotArea dataOnly="0" labelOnly="1" fieldPosition="0">
        <references count="1">
          <reference field="6" count="0"/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8" count="0"/>
        </references>
      </pivotArea>
    </format>
    <format dxfId="27">
      <pivotArea dataOnly="0" labelOnly="1" grandCol="1" outline="0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6" type="button" dataOnly="0" labelOnly="1" outline="0" axis="axisRow" fieldPosition="0"/>
    </format>
    <format dxfId="22">
      <pivotArea dataOnly="0" labelOnly="1" fieldPosition="0">
        <references count="1">
          <reference field="6" count="0"/>
        </references>
      </pivotArea>
    </format>
    <format dxfId="21">
      <pivotArea dataOnly="0" labelOnly="1" grandRow="1" outline="0" fieldPosition="0"/>
    </format>
    <format dxfId="20">
      <pivotArea dataOnly="0" labelOnly="1" fieldPosition="0">
        <references count="1">
          <reference field="8" count="0"/>
        </references>
      </pivotArea>
    </format>
    <format dxfId="19">
      <pivotArea dataOnly="0" labelOnly="1" grandCol="1" outline="0" fieldPosition="0"/>
    </format>
    <format dxfId="18">
      <pivotArea type="all" dataOnly="0" outline="0" fieldPosition="0"/>
    </format>
    <format dxfId="17">
      <pivotArea field="8" type="button" dataOnly="0" labelOnly="1" outline="0" axis="axisCol" fieldPosition="0"/>
    </format>
    <format dxfId="16">
      <pivotArea type="topRight" dataOnly="0" labelOnly="1" outline="0" fieldPosition="0"/>
    </format>
  </formats>
  <chartFormats count="8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41AB6E-53F4-494C-8F13-70379DA2987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nty" colHeaderCaption="Products">
  <location ref="A3:E11" firstHeaderRow="1" firstDataRow="2" firstDataCol="1"/>
  <pivotFields count="3">
    <pivotField axis="axisRow" showAll="0">
      <items count="7">
        <item x="1"/>
        <item x="4"/>
        <item x="3"/>
        <item x="5"/>
        <item x="2"/>
        <item x="0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Total Sales Volume" fld="2" baseField="0" baseItem="0"/>
  </dataFields>
  <formats count="3">
    <format dxfId="13">
      <pivotArea type="all" dataOnly="0" outline="0" fieldPosition="0"/>
    </format>
    <format dxfId="14">
      <pivotArea field="1" type="button" dataOnly="0" labelOnly="1" outline="0" axis="axisCol" fieldPosition="0"/>
    </format>
    <format dxfId="15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EBCBC-D931-488F-8A1B-74BFD525585E}" name="Table1" displayName="Table1" ref="A1:S89" totalsRowShown="0" headerRowDxfId="44">
  <autoFilter ref="A1:S89" xr:uid="{00000000-0001-0000-0000-000000000000}"/>
  <tableColumns count="19">
    <tableColumn id="1" xr3:uid="{2F1345DE-853A-4604-A9E3-19142799B836}" name="Sales_Order #" dataDxfId="43"/>
    <tableColumn id="2" xr3:uid="{69E8A0B8-4289-4F52-A868-59FF61E8557E}" name="Date" dataDxfId="42"/>
    <tableColumn id="3" xr3:uid="{D33E2F62-23C8-4B7B-B38D-0C1BE94834C5}" name="Day"/>
    <tableColumn id="4" xr3:uid="{7644EDBC-81C7-4AF9-8DC1-817FAEA56503}" name="Month"/>
    <tableColumn id="5" xr3:uid="{5A7A4F5F-9F0C-4563-80F9-600ABA416A93}" name="Year"/>
    <tableColumn id="6" xr3:uid="{2C3CC481-FBDC-477E-97C0-6F95ECDF63C0}" name="Customer_Age"/>
    <tableColumn id="7" xr3:uid="{7A39B2F7-85C8-4065-ABF8-22E7D349003F}" name="Age_Group" dataDxfId="41"/>
    <tableColumn id="8" xr3:uid="{372A91FB-E2F3-4446-B43D-EEA9AD970B20}" name="Customer_Gender"/>
    <tableColumn id="9" xr3:uid="{A19F70BD-FFC8-4AB6-A778-C655D1A92696}" name="Country"/>
    <tableColumn id="10" xr3:uid="{28E526BD-761B-4A59-BFEE-8573B42729ED}" name="State"/>
    <tableColumn id="11" xr3:uid="{BF1981B3-FE34-457C-BAFC-6602AA8A52E2}" name="Product_Category"/>
    <tableColumn id="12" xr3:uid="{B6E2FE0A-25F2-443E-94E4-9E6555AA45D6}" name="Sub_Category"/>
    <tableColumn id="13" xr3:uid="{75A98ECB-28B3-4B20-8DFE-180622603635}" name="Product_Description" dataDxfId="40"/>
    <tableColumn id="14" xr3:uid="{24DBB765-B4AE-43D4-A7A4-9A76B8552AE1}" name="Order_Quantity"/>
    <tableColumn id="15" xr3:uid="{E8AFC4D5-DF6C-41B6-9A5F-1BDBEB951987}" name=" Unit_Cost " dataDxfId="39"/>
    <tableColumn id="16" xr3:uid="{3EEBCF96-DF89-4553-AC56-6A6ECC9B685C}" name=" Unit_Price " dataDxfId="38"/>
    <tableColumn id="17" xr3:uid="{C57CB8A8-1F20-4D12-A93F-1A20CD3074B2}" name=" Profit " dataDxfId="37"/>
    <tableColumn id="18" xr3:uid="{FAAD2BF1-40C7-408F-A0D6-41942FB22AAA}" name=" Cost " dataDxfId="36">
      <calculatedColumnFormula>N2*O2</calculatedColumnFormula>
    </tableColumn>
    <tableColumn id="19" xr3:uid="{D75FB887-CA8C-4BD6-BEC5-646EE22AAF5D}" name="Revenue" dataDxfId="35">
      <calculatedColumnFormula>N2*P2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9F840-4B54-4191-8BE8-6BD0B1344A88}" name="Table2" displayName="Table2" ref="A1:C13" totalsRowShown="0" headerRowDxfId="12" headerRowBorderDxfId="10" tableBorderDxfId="11">
  <autoFilter ref="A1:C13" xr:uid="{2A29F840-4B54-4191-8BE8-6BD0B1344A88}"/>
  <tableColumns count="3">
    <tableColumn id="1" xr3:uid="{C2E7D009-C521-418A-B454-5DC139E57330}" name="County" dataDxfId="9"/>
    <tableColumn id="2" xr3:uid="{7379EA0A-C91B-44F1-8493-21F526F079FB}" name="Product" dataDxfId="8"/>
    <tableColumn id="3" xr3:uid="{0E9CF9AB-AD41-48C5-A1BC-044425498773}" name="Sales Volum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00A915-86D1-4A87-89D5-38F3D8ABDBCD}" name="Table28" displayName="Table28" ref="A1:D13" totalsRowShown="0" headerRowDxfId="6" headerRowBorderDxfId="4" tableBorderDxfId="5">
  <autoFilter ref="A1:D13" xr:uid="{2A29F840-4B54-4191-8BE8-6BD0B1344A88}"/>
  <tableColumns count="4">
    <tableColumn id="1" xr3:uid="{E81FF7BC-A026-4036-B5F1-D50DCCC6467E}" name="County" dataDxfId="3"/>
    <tableColumn id="2" xr3:uid="{EC4C2071-211F-4614-B792-5EE96C95DB16}" name="Product" dataDxfId="2"/>
    <tableColumn id="3" xr3:uid="{39532A9E-8295-4E7D-948B-758AF8DA4BA0}" name="Sales Volume" dataDxfId="0"/>
    <tableColumn id="4" xr3:uid="{BDC8C16D-1388-451C-9399-A3FF8F69AE69}" name="Task 2" dataDxfId="1">
      <calculatedColumnFormula array="1">_xlfn.SWITCH(TRUE, C2 &gt; 600, "High", C2 &gt;= 300, "Medium", 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H5" sqref="H5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6" max="6" width="12.140625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autoFilter ref="A1:S89" xr:uid="{00000000-0001-0000-00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DDE6-CACC-4A25-8E25-41F72271FC34}">
  <dimension ref="A1:S89"/>
  <sheetViews>
    <sheetView topLeftCell="A2" workbookViewId="0">
      <selection activeCell="B7" sqref="A2:S89"/>
    </sheetView>
  </sheetViews>
  <sheetFormatPr defaultRowHeight="15" x14ac:dyDescent="0.25"/>
  <cols>
    <col min="1" max="1" width="20" customWidth="1"/>
    <col min="2" max="2" width="10.7109375" bestFit="1" customWidth="1"/>
    <col min="4" max="4" width="10.140625" bestFit="1" customWidth="1"/>
    <col min="5" max="5" width="9.140625" customWidth="1"/>
    <col min="6" max="6" width="16.140625" customWidth="1"/>
    <col min="7" max="7" width="19.7109375" style="8" bestFit="1" customWidth="1"/>
    <col min="8" max="8" width="19.42578125" customWidth="1"/>
    <col min="9" max="9" width="15.42578125" bestFit="1" customWidth="1"/>
    <col min="10" max="10" width="19.85546875" bestFit="1" customWidth="1"/>
    <col min="11" max="11" width="18.85546875" customWidth="1"/>
    <col min="12" max="12" width="15.28515625" customWidth="1"/>
    <col min="13" max="13" width="25" bestFit="1" customWidth="1"/>
    <col min="14" max="14" width="17" customWidth="1"/>
    <col min="15" max="15" width="12.7109375" customWidth="1"/>
    <col min="16" max="16" width="13.28515625" customWidth="1"/>
    <col min="17" max="18" width="10.5703125" bestFit="1" customWidth="1"/>
    <col min="19" max="19" width="11" customWidth="1"/>
  </cols>
  <sheetData>
    <row r="1" spans="1:19" s="4" customFormat="1" x14ac:dyDescent="0.25">
      <c r="A1" s="4" t="s">
        <v>0</v>
      </c>
      <c r="B1" s="10" t="s">
        <v>1</v>
      </c>
      <c r="C1" s="4" t="s">
        <v>2</v>
      </c>
      <c r="D1" s="4" t="s">
        <v>3</v>
      </c>
      <c r="E1" s="9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11" t="s">
        <v>14</v>
      </c>
      <c r="P1" s="11" t="s">
        <v>15</v>
      </c>
      <c r="Q1" s="11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12">
        <v>1252</v>
      </c>
      <c r="P2" s="12">
        <v>2295</v>
      </c>
      <c r="Q2" s="12">
        <v>4172</v>
      </c>
      <c r="R2" s="12">
        <f>N2*O2</f>
        <v>5008</v>
      </c>
      <c r="S2" s="1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12">
        <v>1266</v>
      </c>
      <c r="P3" s="12">
        <v>2320</v>
      </c>
      <c r="Q3" s="12">
        <v>1054</v>
      </c>
      <c r="R3" s="12">
        <f t="shared" ref="R3:R66" si="0">N3*O3</f>
        <v>1266</v>
      </c>
      <c r="S3" s="1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12">
        <v>420</v>
      </c>
      <c r="P4" s="12">
        <v>769</v>
      </c>
      <c r="Q4" s="12">
        <v>698</v>
      </c>
      <c r="R4" s="12">
        <f t="shared" si="0"/>
        <v>840</v>
      </c>
      <c r="S4" s="1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12">
        <v>420</v>
      </c>
      <c r="P5" s="12">
        <v>769</v>
      </c>
      <c r="Q5" s="12">
        <v>349</v>
      </c>
      <c r="R5" s="12">
        <f t="shared" si="0"/>
        <v>420</v>
      </c>
      <c r="S5" s="1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12">
        <v>1252</v>
      </c>
      <c r="P6" s="12">
        <v>2295</v>
      </c>
      <c r="Q6" s="12">
        <v>2086</v>
      </c>
      <c r="R6" s="12">
        <f t="shared" si="0"/>
        <v>2504</v>
      </c>
      <c r="S6" s="1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12">
        <v>1252</v>
      </c>
      <c r="P7" s="12">
        <v>2295</v>
      </c>
      <c r="Q7" s="12">
        <v>1043</v>
      </c>
      <c r="R7" s="12">
        <f t="shared" si="0"/>
        <v>1252</v>
      </c>
      <c r="S7" s="1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12">
        <v>1252</v>
      </c>
      <c r="P8" s="12">
        <v>2295</v>
      </c>
      <c r="Q8" s="12">
        <v>1043</v>
      </c>
      <c r="R8" s="12">
        <f t="shared" si="0"/>
        <v>1252</v>
      </c>
      <c r="S8" s="1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12">
        <v>420</v>
      </c>
      <c r="P9" s="12">
        <v>769</v>
      </c>
      <c r="Q9" s="12">
        <v>1396</v>
      </c>
      <c r="R9" s="12">
        <f t="shared" si="0"/>
        <v>1680</v>
      </c>
      <c r="S9" s="1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12">
        <v>1252</v>
      </c>
      <c r="P10" s="12">
        <v>2295</v>
      </c>
      <c r="Q10" s="12">
        <v>4172</v>
      </c>
      <c r="R10" s="12">
        <f t="shared" si="0"/>
        <v>5008</v>
      </c>
      <c r="S10" s="1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12">
        <v>1252</v>
      </c>
      <c r="P11" s="12">
        <v>2295</v>
      </c>
      <c r="Q11" s="12">
        <v>4172</v>
      </c>
      <c r="R11" s="12">
        <f t="shared" si="0"/>
        <v>5008</v>
      </c>
      <c r="S11" s="1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12">
        <v>1266</v>
      </c>
      <c r="P12" s="12">
        <v>2320</v>
      </c>
      <c r="Q12" s="12">
        <v>1054</v>
      </c>
      <c r="R12" s="12">
        <f t="shared" si="0"/>
        <v>1266</v>
      </c>
      <c r="S12" s="1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12">
        <v>1252</v>
      </c>
      <c r="P13" s="12">
        <v>2295</v>
      </c>
      <c r="Q13" s="12">
        <v>1043</v>
      </c>
      <c r="R13" s="12">
        <f t="shared" si="0"/>
        <v>1252</v>
      </c>
      <c r="S13" s="1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12">
        <v>420</v>
      </c>
      <c r="P14" s="12">
        <v>769</v>
      </c>
      <c r="Q14" s="12">
        <v>1047</v>
      </c>
      <c r="R14" s="12">
        <f t="shared" si="0"/>
        <v>1260</v>
      </c>
      <c r="S14" s="1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12">
        <v>1252</v>
      </c>
      <c r="P15" s="12">
        <v>2295</v>
      </c>
      <c r="Q15" s="12">
        <v>1043</v>
      </c>
      <c r="R15" s="12">
        <f t="shared" si="0"/>
        <v>1252</v>
      </c>
      <c r="S15" s="1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12">
        <v>1252</v>
      </c>
      <c r="P16" s="12">
        <v>2295</v>
      </c>
      <c r="Q16" s="12">
        <v>1043</v>
      </c>
      <c r="R16" s="12">
        <f t="shared" si="0"/>
        <v>1252</v>
      </c>
      <c r="S16" s="1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12">
        <v>1266</v>
      </c>
      <c r="P17" s="12">
        <v>2320</v>
      </c>
      <c r="Q17" s="12">
        <v>1054</v>
      </c>
      <c r="R17" s="12">
        <f t="shared" si="0"/>
        <v>1266</v>
      </c>
      <c r="S17" s="1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12">
        <v>420</v>
      </c>
      <c r="P18" s="12">
        <v>769</v>
      </c>
      <c r="Q18" s="12">
        <v>1396</v>
      </c>
      <c r="R18" s="12">
        <f t="shared" si="0"/>
        <v>1680</v>
      </c>
      <c r="S18" s="1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12">
        <v>1266</v>
      </c>
      <c r="P19" s="12">
        <v>2320</v>
      </c>
      <c r="Q19" s="12">
        <v>2108</v>
      </c>
      <c r="R19" s="12">
        <f t="shared" si="0"/>
        <v>2532</v>
      </c>
      <c r="S19" s="1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12">
        <v>308</v>
      </c>
      <c r="P20" s="12">
        <v>565</v>
      </c>
      <c r="Q20" s="12">
        <v>1028</v>
      </c>
      <c r="R20" s="12">
        <f t="shared" si="0"/>
        <v>1232</v>
      </c>
      <c r="S20" s="1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12">
        <v>1266</v>
      </c>
      <c r="P21" s="12">
        <v>2320</v>
      </c>
      <c r="Q21" s="12">
        <v>4216</v>
      </c>
      <c r="R21" s="12">
        <f t="shared" si="0"/>
        <v>5064</v>
      </c>
      <c r="S21" s="1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12">
        <v>1252</v>
      </c>
      <c r="P22" s="12">
        <v>2295</v>
      </c>
      <c r="Q22" s="12">
        <v>2086</v>
      </c>
      <c r="R22" s="12">
        <f t="shared" si="0"/>
        <v>2504</v>
      </c>
      <c r="S22" s="1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12">
        <v>295</v>
      </c>
      <c r="P23" s="12">
        <v>540</v>
      </c>
      <c r="Q23" s="12">
        <v>245</v>
      </c>
      <c r="R23" s="12">
        <f t="shared" si="0"/>
        <v>295</v>
      </c>
      <c r="S23" s="1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12">
        <v>1898</v>
      </c>
      <c r="P24" s="12">
        <v>3375</v>
      </c>
      <c r="Q24" s="12">
        <v>2954</v>
      </c>
      <c r="R24" s="12">
        <f t="shared" si="0"/>
        <v>3796</v>
      </c>
      <c r="S24" s="1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12">
        <v>1266</v>
      </c>
      <c r="P25" s="12">
        <v>2320</v>
      </c>
      <c r="Q25" s="12">
        <v>1054</v>
      </c>
      <c r="R25" s="12">
        <f t="shared" si="0"/>
        <v>1266</v>
      </c>
      <c r="S25" s="1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12">
        <v>1252</v>
      </c>
      <c r="P26" s="12">
        <v>2295</v>
      </c>
      <c r="Q26" s="12">
        <v>2086</v>
      </c>
      <c r="R26" s="12">
        <f t="shared" si="0"/>
        <v>2504</v>
      </c>
      <c r="S26" s="1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12">
        <v>1252</v>
      </c>
      <c r="P27" s="12">
        <v>2295</v>
      </c>
      <c r="Q27" s="12">
        <v>2086</v>
      </c>
      <c r="R27" s="12">
        <f t="shared" si="0"/>
        <v>2504</v>
      </c>
      <c r="S27" s="1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12">
        <v>1252</v>
      </c>
      <c r="P28" s="12">
        <v>2295</v>
      </c>
      <c r="Q28" s="12">
        <v>1043</v>
      </c>
      <c r="R28" s="12">
        <f t="shared" si="0"/>
        <v>1252</v>
      </c>
      <c r="S28" s="1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12">
        <v>295</v>
      </c>
      <c r="P29" s="12">
        <v>540</v>
      </c>
      <c r="Q29" s="12">
        <v>245</v>
      </c>
      <c r="R29" s="12">
        <f t="shared" si="0"/>
        <v>295</v>
      </c>
      <c r="S29" s="1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12">
        <v>1912</v>
      </c>
      <c r="P30" s="12">
        <v>3400</v>
      </c>
      <c r="Q30" s="12">
        <v>1488</v>
      </c>
      <c r="R30" s="12">
        <f t="shared" si="0"/>
        <v>1912</v>
      </c>
      <c r="S30" s="1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12">
        <v>1252</v>
      </c>
      <c r="P31" s="12">
        <v>2295</v>
      </c>
      <c r="Q31" s="12">
        <v>1043</v>
      </c>
      <c r="R31" s="12">
        <f t="shared" si="0"/>
        <v>1252</v>
      </c>
      <c r="S31" s="1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12">
        <v>1252</v>
      </c>
      <c r="P32" s="12">
        <v>2295</v>
      </c>
      <c r="Q32" s="12">
        <v>3129</v>
      </c>
      <c r="R32" s="12">
        <f t="shared" si="0"/>
        <v>3756</v>
      </c>
      <c r="S32" s="1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12">
        <v>420</v>
      </c>
      <c r="P33" s="12">
        <v>769</v>
      </c>
      <c r="Q33" s="12">
        <v>698</v>
      </c>
      <c r="R33" s="12">
        <f t="shared" si="0"/>
        <v>840</v>
      </c>
      <c r="S33" s="1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12">
        <v>1252</v>
      </c>
      <c r="P34" s="12">
        <v>2295</v>
      </c>
      <c r="Q34" s="12">
        <v>1043</v>
      </c>
      <c r="R34" s="12">
        <f t="shared" si="0"/>
        <v>1252</v>
      </c>
      <c r="S34" s="1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12">
        <v>420</v>
      </c>
      <c r="P35" s="12">
        <v>769</v>
      </c>
      <c r="Q35" s="12">
        <v>349</v>
      </c>
      <c r="R35" s="12">
        <f t="shared" si="0"/>
        <v>420</v>
      </c>
      <c r="S35" s="1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12">
        <v>1266</v>
      </c>
      <c r="P36" s="12">
        <v>2320</v>
      </c>
      <c r="Q36" s="12">
        <v>1054</v>
      </c>
      <c r="R36" s="12">
        <f t="shared" si="0"/>
        <v>1266</v>
      </c>
      <c r="S36" s="1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12">
        <v>1266</v>
      </c>
      <c r="P37" s="12">
        <v>2320</v>
      </c>
      <c r="Q37" s="12">
        <v>4216</v>
      </c>
      <c r="R37" s="12">
        <f t="shared" si="0"/>
        <v>5064</v>
      </c>
      <c r="S37" s="1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12">
        <v>420</v>
      </c>
      <c r="P38" s="12">
        <v>769</v>
      </c>
      <c r="Q38" s="12">
        <v>1396</v>
      </c>
      <c r="R38" s="12">
        <f t="shared" si="0"/>
        <v>1680</v>
      </c>
      <c r="S38" s="1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12">
        <v>1252</v>
      </c>
      <c r="P39" s="12">
        <v>2295</v>
      </c>
      <c r="Q39" s="12">
        <v>2086</v>
      </c>
      <c r="R39" s="12">
        <f t="shared" si="0"/>
        <v>2504</v>
      </c>
      <c r="S39" s="1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12">
        <v>1266</v>
      </c>
      <c r="P40" s="12">
        <v>2320</v>
      </c>
      <c r="Q40" s="12">
        <v>1054</v>
      </c>
      <c r="R40" s="12">
        <f t="shared" si="0"/>
        <v>1266</v>
      </c>
      <c r="S40" s="1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12">
        <v>1266</v>
      </c>
      <c r="P41" s="12">
        <v>2320</v>
      </c>
      <c r="Q41" s="12">
        <v>1054</v>
      </c>
      <c r="R41" s="12">
        <f t="shared" si="0"/>
        <v>1266</v>
      </c>
      <c r="S41" s="1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12">
        <v>1266</v>
      </c>
      <c r="P42" s="12">
        <v>2320</v>
      </c>
      <c r="Q42" s="12">
        <v>3162</v>
      </c>
      <c r="R42" s="12">
        <f t="shared" si="0"/>
        <v>3798</v>
      </c>
      <c r="S42" s="1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12">
        <v>308</v>
      </c>
      <c r="P43" s="12">
        <v>565</v>
      </c>
      <c r="Q43" s="12">
        <v>257</v>
      </c>
      <c r="R43" s="12">
        <f t="shared" si="0"/>
        <v>308</v>
      </c>
      <c r="S43" s="1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12">
        <v>1252</v>
      </c>
      <c r="P44" s="12">
        <v>2295</v>
      </c>
      <c r="Q44" s="12">
        <v>1043</v>
      </c>
      <c r="R44" s="12">
        <f t="shared" si="0"/>
        <v>1252</v>
      </c>
      <c r="S44" s="1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12">
        <v>1252</v>
      </c>
      <c r="P45" s="12">
        <v>2295</v>
      </c>
      <c r="Q45" s="12">
        <v>1043</v>
      </c>
      <c r="R45" s="12">
        <f t="shared" si="0"/>
        <v>1252</v>
      </c>
      <c r="S45" s="1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12">
        <v>1266</v>
      </c>
      <c r="P46" s="12">
        <v>2320</v>
      </c>
      <c r="Q46" s="12">
        <v>2108</v>
      </c>
      <c r="R46" s="12">
        <f t="shared" si="0"/>
        <v>2532</v>
      </c>
      <c r="S46" s="1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12">
        <v>1252</v>
      </c>
      <c r="P47" s="12">
        <v>2295</v>
      </c>
      <c r="Q47" s="12">
        <v>1043</v>
      </c>
      <c r="R47" s="12">
        <f t="shared" si="0"/>
        <v>1252</v>
      </c>
      <c r="S47" s="1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12">
        <v>420</v>
      </c>
      <c r="P48" s="12">
        <v>769</v>
      </c>
      <c r="Q48" s="12">
        <v>349</v>
      </c>
      <c r="R48" s="12">
        <f t="shared" si="0"/>
        <v>420</v>
      </c>
      <c r="S48" s="1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12">
        <v>1266</v>
      </c>
      <c r="P49" s="12">
        <v>2320</v>
      </c>
      <c r="Q49" s="12">
        <v>1054</v>
      </c>
      <c r="R49" s="12">
        <f t="shared" si="0"/>
        <v>1266</v>
      </c>
      <c r="S49" s="1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12">
        <v>1252</v>
      </c>
      <c r="P50" s="12">
        <v>2295</v>
      </c>
      <c r="Q50" s="12">
        <v>2086</v>
      </c>
      <c r="R50" s="12">
        <f t="shared" si="0"/>
        <v>2504</v>
      </c>
      <c r="S50" s="1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12">
        <v>1252</v>
      </c>
      <c r="P51" s="12">
        <v>2295</v>
      </c>
      <c r="Q51" s="12">
        <v>2086</v>
      </c>
      <c r="R51" s="12">
        <f t="shared" si="0"/>
        <v>2504</v>
      </c>
      <c r="S51" s="1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12">
        <v>1266</v>
      </c>
      <c r="P52" s="12">
        <v>2320</v>
      </c>
      <c r="Q52" s="12">
        <v>1054</v>
      </c>
      <c r="R52" s="12">
        <f t="shared" si="0"/>
        <v>1266</v>
      </c>
      <c r="S52" s="1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12">
        <v>1266</v>
      </c>
      <c r="P53" s="12">
        <v>2320</v>
      </c>
      <c r="Q53" s="12">
        <v>2108</v>
      </c>
      <c r="R53" s="12">
        <f t="shared" si="0"/>
        <v>2532</v>
      </c>
      <c r="S53" s="1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12">
        <v>420</v>
      </c>
      <c r="P54" s="12">
        <v>769</v>
      </c>
      <c r="Q54" s="12">
        <v>349</v>
      </c>
      <c r="R54" s="12">
        <f t="shared" si="0"/>
        <v>420</v>
      </c>
      <c r="S54" s="1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12">
        <v>1266</v>
      </c>
      <c r="P55" s="12">
        <v>2320</v>
      </c>
      <c r="Q55" s="12">
        <v>1054</v>
      </c>
      <c r="R55" s="12">
        <f t="shared" si="0"/>
        <v>1266</v>
      </c>
      <c r="S55" s="1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12">
        <v>308</v>
      </c>
      <c r="P56" s="12">
        <v>565</v>
      </c>
      <c r="Q56" s="12">
        <v>1028</v>
      </c>
      <c r="R56" s="12">
        <f t="shared" si="0"/>
        <v>1232</v>
      </c>
      <c r="S56" s="1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12">
        <v>1266</v>
      </c>
      <c r="P57" s="12">
        <v>2320</v>
      </c>
      <c r="Q57" s="12">
        <v>4216</v>
      </c>
      <c r="R57" s="12">
        <f t="shared" si="0"/>
        <v>5064</v>
      </c>
      <c r="S57" s="1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12">
        <v>1266</v>
      </c>
      <c r="P58" s="12">
        <v>2320</v>
      </c>
      <c r="Q58" s="12">
        <v>3162</v>
      </c>
      <c r="R58" s="12">
        <f t="shared" si="0"/>
        <v>3798</v>
      </c>
      <c r="S58" s="1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12">
        <v>420</v>
      </c>
      <c r="P59" s="12">
        <v>769</v>
      </c>
      <c r="Q59" s="12">
        <v>1047</v>
      </c>
      <c r="R59" s="12">
        <f t="shared" si="0"/>
        <v>1260</v>
      </c>
      <c r="S59" s="1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12">
        <v>1252</v>
      </c>
      <c r="P60" s="12">
        <v>2295</v>
      </c>
      <c r="Q60" s="12">
        <v>3129</v>
      </c>
      <c r="R60" s="12">
        <f t="shared" si="0"/>
        <v>3756</v>
      </c>
      <c r="S60" s="1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12">
        <v>1252</v>
      </c>
      <c r="P61" s="12">
        <v>2295</v>
      </c>
      <c r="Q61" s="12">
        <v>1043</v>
      </c>
      <c r="R61" s="12">
        <f t="shared" si="0"/>
        <v>1252</v>
      </c>
      <c r="S61" s="1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12">
        <v>1266</v>
      </c>
      <c r="P62" s="12">
        <v>2320</v>
      </c>
      <c r="Q62" s="12">
        <v>1054</v>
      </c>
      <c r="R62" s="12">
        <f t="shared" si="0"/>
        <v>1266</v>
      </c>
      <c r="S62" s="1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12">
        <v>1266</v>
      </c>
      <c r="P63" s="12">
        <v>2320</v>
      </c>
      <c r="Q63" s="12">
        <v>4216</v>
      </c>
      <c r="R63" s="12">
        <f t="shared" si="0"/>
        <v>5064</v>
      </c>
      <c r="S63" s="1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12">
        <v>295</v>
      </c>
      <c r="P64" s="12">
        <v>540</v>
      </c>
      <c r="Q64" s="12">
        <v>980</v>
      </c>
      <c r="R64" s="12">
        <f t="shared" si="0"/>
        <v>1180</v>
      </c>
      <c r="S64" s="1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12">
        <v>1252</v>
      </c>
      <c r="P65" s="12">
        <v>2295</v>
      </c>
      <c r="Q65" s="12">
        <v>4172</v>
      </c>
      <c r="R65" s="12">
        <f t="shared" si="0"/>
        <v>5008</v>
      </c>
      <c r="S65" s="1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12">
        <v>1898</v>
      </c>
      <c r="P66" s="12">
        <v>3375</v>
      </c>
      <c r="Q66" s="12">
        <v>5908</v>
      </c>
      <c r="R66" s="12">
        <f t="shared" si="0"/>
        <v>7592</v>
      </c>
      <c r="S66" s="1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12">
        <v>1252</v>
      </c>
      <c r="P67" s="12">
        <v>2295</v>
      </c>
      <c r="Q67" s="12">
        <v>4172</v>
      </c>
      <c r="R67" s="12">
        <f t="shared" ref="R67:R89" si="2">N67*O67</f>
        <v>5008</v>
      </c>
      <c r="S67" s="1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12">
        <v>1252</v>
      </c>
      <c r="P68" s="12">
        <v>2295</v>
      </c>
      <c r="Q68" s="12">
        <v>4172</v>
      </c>
      <c r="R68" s="12">
        <f t="shared" si="2"/>
        <v>5008</v>
      </c>
      <c r="S68" s="1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12">
        <v>1252</v>
      </c>
      <c r="P69" s="12">
        <v>2295</v>
      </c>
      <c r="Q69" s="12">
        <v>4172</v>
      </c>
      <c r="R69" s="12">
        <f t="shared" si="2"/>
        <v>5008</v>
      </c>
      <c r="S69" s="1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12">
        <v>295</v>
      </c>
      <c r="P70" s="12">
        <v>540</v>
      </c>
      <c r="Q70" s="12">
        <v>490</v>
      </c>
      <c r="R70" s="12">
        <f t="shared" si="2"/>
        <v>590</v>
      </c>
      <c r="S70" s="1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12">
        <v>1252</v>
      </c>
      <c r="P71" s="12">
        <v>2295</v>
      </c>
      <c r="Q71" s="12">
        <v>2086</v>
      </c>
      <c r="R71" s="12">
        <f t="shared" si="2"/>
        <v>2504</v>
      </c>
      <c r="S71" s="1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12">
        <v>1266</v>
      </c>
      <c r="P72" s="12">
        <v>2320</v>
      </c>
      <c r="Q72" s="12">
        <v>1054</v>
      </c>
      <c r="R72" s="12">
        <f t="shared" si="2"/>
        <v>1266</v>
      </c>
      <c r="S72" s="1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12">
        <v>1898</v>
      </c>
      <c r="P73" s="12">
        <v>3375</v>
      </c>
      <c r="Q73" s="12">
        <v>5908</v>
      </c>
      <c r="R73" s="12">
        <f t="shared" si="2"/>
        <v>7592</v>
      </c>
      <c r="S73" s="1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12">
        <v>1252</v>
      </c>
      <c r="P74" s="12">
        <v>2295</v>
      </c>
      <c r="Q74" s="12">
        <v>4172</v>
      </c>
      <c r="R74" s="12">
        <f t="shared" si="2"/>
        <v>5008</v>
      </c>
      <c r="S74" s="1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12">
        <v>295</v>
      </c>
      <c r="P75" s="12">
        <v>540</v>
      </c>
      <c r="Q75" s="12">
        <v>735</v>
      </c>
      <c r="R75" s="12">
        <f t="shared" si="2"/>
        <v>885</v>
      </c>
      <c r="S75" s="1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12">
        <v>1266</v>
      </c>
      <c r="P76" s="12">
        <v>2320</v>
      </c>
      <c r="Q76" s="12">
        <v>1054</v>
      </c>
      <c r="R76" s="12">
        <f t="shared" si="2"/>
        <v>1266</v>
      </c>
      <c r="S76" s="1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12">
        <v>1266</v>
      </c>
      <c r="P77" s="12">
        <v>2320</v>
      </c>
      <c r="Q77" s="12">
        <v>1054</v>
      </c>
      <c r="R77" s="12">
        <f t="shared" si="2"/>
        <v>1266</v>
      </c>
      <c r="S77" s="1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12">
        <v>1266</v>
      </c>
      <c r="P78" s="12">
        <v>2320</v>
      </c>
      <c r="Q78" s="12">
        <v>3162</v>
      </c>
      <c r="R78" s="12">
        <f t="shared" si="2"/>
        <v>3798</v>
      </c>
      <c r="S78" s="1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12">
        <v>420</v>
      </c>
      <c r="P79" s="12">
        <v>769</v>
      </c>
      <c r="Q79" s="12">
        <v>698</v>
      </c>
      <c r="R79" s="12">
        <f t="shared" si="2"/>
        <v>840</v>
      </c>
      <c r="S79" s="1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12">
        <v>1266</v>
      </c>
      <c r="P80" s="12">
        <v>2320</v>
      </c>
      <c r="Q80" s="12">
        <v>3162</v>
      </c>
      <c r="R80" s="12">
        <f t="shared" si="2"/>
        <v>3798</v>
      </c>
      <c r="S80" s="1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12">
        <v>1252</v>
      </c>
      <c r="P81" s="12">
        <v>2295</v>
      </c>
      <c r="Q81" s="12">
        <v>3129</v>
      </c>
      <c r="R81" s="12">
        <f t="shared" si="2"/>
        <v>3756</v>
      </c>
      <c r="S81" s="1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12">
        <v>308</v>
      </c>
      <c r="P82" s="12">
        <v>565</v>
      </c>
      <c r="Q82" s="12">
        <v>257</v>
      </c>
      <c r="R82" s="12">
        <f t="shared" si="2"/>
        <v>308</v>
      </c>
      <c r="S82" s="1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12">
        <v>1252</v>
      </c>
      <c r="P83" s="12">
        <v>2295</v>
      </c>
      <c r="Q83" s="12">
        <v>1043</v>
      </c>
      <c r="R83" s="12">
        <f t="shared" si="2"/>
        <v>1252</v>
      </c>
      <c r="S83" s="1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12">
        <v>1252</v>
      </c>
      <c r="P84" s="12">
        <v>2295</v>
      </c>
      <c r="Q84" s="12">
        <v>1043</v>
      </c>
      <c r="R84" s="12">
        <f t="shared" si="2"/>
        <v>1252</v>
      </c>
      <c r="S84" s="1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12">
        <v>1266</v>
      </c>
      <c r="P85" s="12">
        <v>2320</v>
      </c>
      <c r="Q85" s="12">
        <v>1054</v>
      </c>
      <c r="R85" s="12">
        <f t="shared" si="2"/>
        <v>1266</v>
      </c>
      <c r="S85" s="1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12">
        <v>1266</v>
      </c>
      <c r="P86" s="12">
        <v>2320</v>
      </c>
      <c r="Q86" s="12">
        <v>1054</v>
      </c>
      <c r="R86" s="12">
        <f t="shared" si="2"/>
        <v>1266</v>
      </c>
      <c r="S86" s="1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12">
        <v>1252</v>
      </c>
      <c r="P87" s="12">
        <v>2295</v>
      </c>
      <c r="Q87" s="12">
        <v>1043</v>
      </c>
      <c r="R87" s="12">
        <f t="shared" si="2"/>
        <v>1252</v>
      </c>
      <c r="S87" s="1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12">
        <v>295</v>
      </c>
      <c r="P88" s="12">
        <v>540</v>
      </c>
      <c r="Q88" s="12">
        <v>245</v>
      </c>
      <c r="R88" s="12">
        <f t="shared" si="2"/>
        <v>295</v>
      </c>
      <c r="S88" s="1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12">
        <v>1252</v>
      </c>
      <c r="P89" s="12">
        <v>2295</v>
      </c>
      <c r="Q89" s="12">
        <v>4172</v>
      </c>
      <c r="R89" s="12">
        <f t="shared" si="2"/>
        <v>5008</v>
      </c>
      <c r="S89" s="12">
        <f t="shared" si="3"/>
        <v>9180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3946-106F-4290-A5CC-A00BD2F92E3F}">
  <dimension ref="A3:I14"/>
  <sheetViews>
    <sheetView zoomScale="85" zoomScaleNormal="85" workbookViewId="0">
      <selection activeCell="B3" sqref="B3"/>
    </sheetView>
  </sheetViews>
  <sheetFormatPr defaultRowHeight="15" x14ac:dyDescent="0.25"/>
  <cols>
    <col min="1" max="1" width="21.85546875" bestFit="1" customWidth="1"/>
    <col min="2" max="2" width="12.5703125" bestFit="1" customWidth="1"/>
    <col min="3" max="3" width="7.42578125" bestFit="1" customWidth="1"/>
    <col min="4" max="4" width="6.85546875" bestFit="1" customWidth="1"/>
    <col min="5" max="5" width="9.140625" bestFit="1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  <col min="10" max="10" width="11.28515625" bestFit="1" customWidth="1"/>
  </cols>
  <sheetData>
    <row r="3" spans="1:9" x14ac:dyDescent="0.25">
      <c r="A3" s="16" t="s">
        <v>159</v>
      </c>
      <c r="B3" s="16" t="s">
        <v>8</v>
      </c>
      <c r="C3" s="18"/>
      <c r="D3" s="18"/>
      <c r="E3" s="18"/>
      <c r="F3" s="18"/>
      <c r="G3" s="18"/>
      <c r="H3" s="18"/>
      <c r="I3" s="19"/>
    </row>
    <row r="4" spans="1:9" x14ac:dyDescent="0.25">
      <c r="A4" s="13" t="s">
        <v>6</v>
      </c>
      <c r="B4" s="17" t="s">
        <v>36</v>
      </c>
      <c r="C4" s="17" t="s">
        <v>58</v>
      </c>
      <c r="D4" s="17" t="s">
        <v>87</v>
      </c>
      <c r="E4" s="17" t="s">
        <v>50</v>
      </c>
      <c r="F4" s="17" t="s">
        <v>40</v>
      </c>
      <c r="G4" s="17" t="s">
        <v>29</v>
      </c>
      <c r="H4" s="17" t="s">
        <v>23</v>
      </c>
      <c r="I4" s="17" t="s">
        <v>45</v>
      </c>
    </row>
    <row r="5" spans="1:9" x14ac:dyDescent="0.25">
      <c r="A5" s="14" t="s">
        <v>42</v>
      </c>
      <c r="B5" s="14">
        <v>11</v>
      </c>
      <c r="C5" s="14">
        <v>0</v>
      </c>
      <c r="D5" s="14">
        <v>10</v>
      </c>
      <c r="E5" s="14">
        <v>0</v>
      </c>
      <c r="F5" s="14">
        <v>0</v>
      </c>
      <c r="G5" s="14">
        <v>6</v>
      </c>
      <c r="H5" s="14">
        <v>0</v>
      </c>
      <c r="I5" s="14">
        <v>0</v>
      </c>
    </row>
    <row r="6" spans="1:9" x14ac:dyDescent="0.25">
      <c r="A6" s="15" t="s">
        <v>22</v>
      </c>
      <c r="B6" s="14">
        <v>9</v>
      </c>
      <c r="C6" s="14">
        <v>0</v>
      </c>
      <c r="D6" s="14">
        <v>6</v>
      </c>
      <c r="E6" s="14">
        <v>0</v>
      </c>
      <c r="F6" s="14">
        <v>0</v>
      </c>
      <c r="G6" s="14">
        <v>1</v>
      </c>
      <c r="H6" s="14">
        <v>0</v>
      </c>
      <c r="I6" s="14">
        <v>0</v>
      </c>
    </row>
    <row r="7" spans="1:9" x14ac:dyDescent="0.25">
      <c r="A7" s="15" t="s">
        <v>28</v>
      </c>
      <c r="B7" s="14">
        <v>2</v>
      </c>
      <c r="C7" s="14">
        <v>0</v>
      </c>
      <c r="D7" s="14">
        <v>4</v>
      </c>
      <c r="E7" s="14">
        <v>0</v>
      </c>
      <c r="F7" s="14">
        <v>0</v>
      </c>
      <c r="G7" s="14">
        <v>5</v>
      </c>
      <c r="H7" s="14">
        <v>0</v>
      </c>
      <c r="I7" s="14">
        <v>0</v>
      </c>
    </row>
    <row r="8" spans="1:9" x14ac:dyDescent="0.25">
      <c r="A8" s="14" t="s">
        <v>35</v>
      </c>
      <c r="B8" s="14">
        <v>20</v>
      </c>
      <c r="C8" s="14">
        <v>11</v>
      </c>
      <c r="D8" s="14">
        <v>10</v>
      </c>
      <c r="E8" s="14">
        <v>0</v>
      </c>
      <c r="F8" s="14">
        <v>0</v>
      </c>
      <c r="G8" s="14">
        <v>4</v>
      </c>
      <c r="H8" s="14">
        <v>16</v>
      </c>
      <c r="I8" s="14">
        <v>0</v>
      </c>
    </row>
    <row r="9" spans="1:9" x14ac:dyDescent="0.25">
      <c r="A9" s="15" t="s">
        <v>22</v>
      </c>
      <c r="B9" s="14">
        <v>17</v>
      </c>
      <c r="C9" s="14">
        <v>6</v>
      </c>
      <c r="D9" s="14">
        <v>1</v>
      </c>
      <c r="E9" s="14">
        <v>0</v>
      </c>
      <c r="F9" s="14">
        <v>0</v>
      </c>
      <c r="G9" s="14">
        <v>3</v>
      </c>
      <c r="H9" s="14">
        <v>10</v>
      </c>
      <c r="I9" s="14">
        <v>0</v>
      </c>
    </row>
    <row r="10" spans="1:9" x14ac:dyDescent="0.25">
      <c r="A10" s="15" t="s">
        <v>28</v>
      </c>
      <c r="B10" s="14">
        <v>3</v>
      </c>
      <c r="C10" s="14">
        <v>5</v>
      </c>
      <c r="D10" s="14">
        <v>9</v>
      </c>
      <c r="E10" s="14">
        <v>0</v>
      </c>
      <c r="F10" s="14">
        <v>0</v>
      </c>
      <c r="G10" s="14">
        <v>1</v>
      </c>
      <c r="H10" s="14">
        <v>6</v>
      </c>
      <c r="I10" s="14">
        <v>0</v>
      </c>
    </row>
    <row r="11" spans="1:9" x14ac:dyDescent="0.25">
      <c r="A11" s="14" t="s">
        <v>21</v>
      </c>
      <c r="B11" s="14">
        <v>32</v>
      </c>
      <c r="C11" s="14">
        <v>0</v>
      </c>
      <c r="D11" s="14">
        <v>0</v>
      </c>
      <c r="E11" s="14">
        <v>13</v>
      </c>
      <c r="F11" s="14">
        <v>2</v>
      </c>
      <c r="G11" s="14">
        <v>4</v>
      </c>
      <c r="H11" s="14">
        <v>47</v>
      </c>
      <c r="I11" s="14">
        <v>1</v>
      </c>
    </row>
    <row r="12" spans="1:9" x14ac:dyDescent="0.25">
      <c r="A12" s="15" t="s">
        <v>22</v>
      </c>
      <c r="B12" s="14">
        <v>17</v>
      </c>
      <c r="C12" s="14">
        <v>0</v>
      </c>
      <c r="D12" s="14">
        <v>0</v>
      </c>
      <c r="E12" s="14">
        <v>8</v>
      </c>
      <c r="F12" s="14">
        <v>2</v>
      </c>
      <c r="G12" s="14">
        <v>1</v>
      </c>
      <c r="H12" s="14">
        <v>27</v>
      </c>
      <c r="I12" s="14">
        <v>0</v>
      </c>
    </row>
    <row r="13" spans="1:9" x14ac:dyDescent="0.25">
      <c r="A13" s="15" t="s">
        <v>28</v>
      </c>
      <c r="B13" s="14">
        <v>15</v>
      </c>
      <c r="C13" s="14">
        <v>0</v>
      </c>
      <c r="D13" s="14">
        <v>0</v>
      </c>
      <c r="E13" s="14">
        <v>5</v>
      </c>
      <c r="F13" s="14">
        <v>0</v>
      </c>
      <c r="G13" s="14">
        <v>3</v>
      </c>
      <c r="H13" s="14">
        <v>20</v>
      </c>
      <c r="I13" s="14">
        <v>1</v>
      </c>
    </row>
    <row r="14" spans="1:9" x14ac:dyDescent="0.25">
      <c r="A14" s="14" t="s">
        <v>158</v>
      </c>
      <c r="B14" s="14">
        <v>63</v>
      </c>
      <c r="C14" s="14">
        <v>11</v>
      </c>
      <c r="D14" s="14">
        <v>20</v>
      </c>
      <c r="E14" s="14">
        <v>13</v>
      </c>
      <c r="F14" s="14">
        <v>2</v>
      </c>
      <c r="G14" s="14">
        <v>14</v>
      </c>
      <c r="H14" s="14">
        <v>63</v>
      </c>
      <c r="I14" s="1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F161-1172-4EF1-90F4-FE4E0734B7A3}">
  <dimension ref="A1:C13"/>
  <sheetViews>
    <sheetView workbookViewId="0">
      <selection activeCell="H8" sqref="H8"/>
    </sheetView>
  </sheetViews>
  <sheetFormatPr defaultRowHeight="15" x14ac:dyDescent="0.25"/>
  <cols>
    <col min="1" max="1" width="25.42578125" customWidth="1"/>
    <col min="2" max="2" width="19.42578125" customWidth="1"/>
    <col min="3" max="3" width="29.140625" customWidth="1"/>
  </cols>
  <sheetData>
    <row r="1" spans="1:3" ht="35.25" customHeight="1" thickBot="1" x14ac:dyDescent="0.3">
      <c r="A1" s="22" t="s">
        <v>160</v>
      </c>
      <c r="B1" s="22" t="s">
        <v>161</v>
      </c>
      <c r="C1" s="23" t="s">
        <v>162</v>
      </c>
    </row>
    <row r="2" spans="1:3" ht="35.25" customHeight="1" thickBot="1" x14ac:dyDescent="0.3">
      <c r="A2" s="20" t="s">
        <v>163</v>
      </c>
      <c r="B2" s="20" t="s">
        <v>164</v>
      </c>
      <c r="C2" s="21">
        <v>500</v>
      </c>
    </row>
    <row r="3" spans="1:3" ht="36" customHeight="1" thickBot="1" x14ac:dyDescent="0.3">
      <c r="A3" s="20" t="s">
        <v>163</v>
      </c>
      <c r="B3" s="20" t="s">
        <v>165</v>
      </c>
      <c r="C3" s="21">
        <v>200</v>
      </c>
    </row>
    <row r="4" spans="1:3" ht="35.25" thickBot="1" x14ac:dyDescent="0.3">
      <c r="A4" s="20" t="s">
        <v>166</v>
      </c>
      <c r="B4" s="20" t="s">
        <v>164</v>
      </c>
      <c r="C4" s="21">
        <v>700</v>
      </c>
    </row>
    <row r="5" spans="1:3" ht="35.25" thickBot="1" x14ac:dyDescent="0.3">
      <c r="A5" s="20" t="s">
        <v>166</v>
      </c>
      <c r="B5" s="20" t="s">
        <v>167</v>
      </c>
      <c r="C5" s="21">
        <v>400</v>
      </c>
    </row>
    <row r="6" spans="1:3" ht="35.25" thickBot="1" x14ac:dyDescent="0.3">
      <c r="A6" s="20" t="s">
        <v>168</v>
      </c>
      <c r="B6" s="20" t="s">
        <v>165</v>
      </c>
      <c r="C6" s="21">
        <v>150</v>
      </c>
    </row>
    <row r="7" spans="1:3" ht="35.25" thickBot="1" x14ac:dyDescent="0.3">
      <c r="A7" s="20" t="s">
        <v>168</v>
      </c>
      <c r="B7" s="20" t="s">
        <v>164</v>
      </c>
      <c r="C7" s="21">
        <v>600</v>
      </c>
    </row>
    <row r="8" spans="1:3" ht="35.25" customHeight="1" thickBot="1" x14ac:dyDescent="0.3">
      <c r="A8" s="20" t="s">
        <v>169</v>
      </c>
      <c r="B8" s="20" t="s">
        <v>167</v>
      </c>
      <c r="C8" s="21">
        <v>800</v>
      </c>
    </row>
    <row r="9" spans="1:3" ht="35.25" thickBot="1" x14ac:dyDescent="0.3">
      <c r="A9" s="20" t="s">
        <v>169</v>
      </c>
      <c r="B9" s="20" t="s">
        <v>165</v>
      </c>
      <c r="C9" s="21">
        <v>300</v>
      </c>
    </row>
    <row r="10" spans="1:3" ht="35.25" customHeight="1" thickBot="1" x14ac:dyDescent="0.3">
      <c r="A10" s="20" t="s">
        <v>170</v>
      </c>
      <c r="B10" s="20" t="s">
        <v>164</v>
      </c>
      <c r="C10" s="21">
        <v>250</v>
      </c>
    </row>
    <row r="11" spans="1:3" ht="35.25" customHeight="1" thickBot="1" x14ac:dyDescent="0.3">
      <c r="A11" s="20" t="s">
        <v>170</v>
      </c>
      <c r="B11" s="20" t="s">
        <v>167</v>
      </c>
      <c r="C11" s="21">
        <v>300</v>
      </c>
    </row>
    <row r="12" spans="1:3" ht="35.25" customHeight="1" thickBot="1" x14ac:dyDescent="0.3">
      <c r="A12" s="20" t="s">
        <v>171</v>
      </c>
      <c r="B12" s="20" t="s">
        <v>165</v>
      </c>
      <c r="C12" s="21">
        <v>600</v>
      </c>
    </row>
    <row r="13" spans="1:3" ht="35.25" customHeight="1" x14ac:dyDescent="0.25">
      <c r="A13" s="24" t="s">
        <v>171</v>
      </c>
      <c r="B13" s="24" t="s">
        <v>164</v>
      </c>
      <c r="C13" s="25">
        <v>400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6B790-7C56-4B3D-89E7-3AD14082C1D1}">
  <dimension ref="A3:E11"/>
  <sheetViews>
    <sheetView zoomScale="400" zoomScaleNormal="400" workbookViewId="0">
      <selection activeCell="A3" sqref="A3"/>
    </sheetView>
  </sheetViews>
  <sheetFormatPr defaultRowHeight="15" x14ac:dyDescent="0.25"/>
  <cols>
    <col min="1" max="1" width="18.85546875" bestFit="1" customWidth="1"/>
    <col min="2" max="2" width="11" bestFit="1" customWidth="1"/>
    <col min="3" max="3" width="8" bestFit="1" customWidth="1"/>
    <col min="4" max="4" width="12.7109375" bestFit="1" customWidth="1"/>
    <col min="5" max="5" width="11.28515625" bestFit="1" customWidth="1"/>
  </cols>
  <sheetData>
    <row r="3" spans="1:5" x14ac:dyDescent="0.25">
      <c r="A3" s="26" t="s">
        <v>173</v>
      </c>
      <c r="B3" s="26" t="s">
        <v>172</v>
      </c>
      <c r="C3" s="27"/>
      <c r="D3" s="27"/>
      <c r="E3" s="27"/>
    </row>
    <row r="4" spans="1:5" x14ac:dyDescent="0.25">
      <c r="A4" s="26" t="s">
        <v>160</v>
      </c>
      <c r="B4" s="27" t="s">
        <v>164</v>
      </c>
      <c r="C4" s="27" t="s">
        <v>167</v>
      </c>
      <c r="D4" s="27" t="s">
        <v>165</v>
      </c>
      <c r="E4" s="27" t="s">
        <v>158</v>
      </c>
    </row>
    <row r="5" spans="1:5" x14ac:dyDescent="0.25">
      <c r="A5" s="28" t="s">
        <v>166</v>
      </c>
      <c r="B5" s="29">
        <v>700</v>
      </c>
      <c r="C5" s="29">
        <v>400</v>
      </c>
      <c r="D5" s="29"/>
      <c r="E5" s="29">
        <v>1100</v>
      </c>
    </row>
    <row r="6" spans="1:5" x14ac:dyDescent="0.25">
      <c r="A6" s="28" t="s">
        <v>170</v>
      </c>
      <c r="B6" s="29">
        <v>250</v>
      </c>
      <c r="C6" s="29">
        <v>300</v>
      </c>
      <c r="D6" s="29"/>
      <c r="E6" s="29">
        <v>550</v>
      </c>
    </row>
    <row r="7" spans="1:5" x14ac:dyDescent="0.25">
      <c r="A7" s="28" t="s">
        <v>169</v>
      </c>
      <c r="B7" s="29"/>
      <c r="C7" s="29">
        <v>800</v>
      </c>
      <c r="D7" s="29">
        <v>300</v>
      </c>
      <c r="E7" s="29">
        <v>1100</v>
      </c>
    </row>
    <row r="8" spans="1:5" x14ac:dyDescent="0.25">
      <c r="A8" s="28" t="s">
        <v>171</v>
      </c>
      <c r="B8" s="29">
        <v>400</v>
      </c>
      <c r="C8" s="29"/>
      <c r="D8" s="29">
        <v>600</v>
      </c>
      <c r="E8" s="29">
        <v>1000</v>
      </c>
    </row>
    <row r="9" spans="1:5" x14ac:dyDescent="0.25">
      <c r="A9" s="28" t="s">
        <v>168</v>
      </c>
      <c r="B9" s="29">
        <v>600</v>
      </c>
      <c r="C9" s="29"/>
      <c r="D9" s="29">
        <v>150</v>
      </c>
      <c r="E9" s="29">
        <v>750</v>
      </c>
    </row>
    <row r="10" spans="1:5" x14ac:dyDescent="0.25">
      <c r="A10" s="28" t="s">
        <v>163</v>
      </c>
      <c r="B10" s="29">
        <v>500</v>
      </c>
      <c r="C10" s="29"/>
      <c r="D10" s="29">
        <v>200</v>
      </c>
      <c r="E10" s="29">
        <v>700</v>
      </c>
    </row>
    <row r="11" spans="1:5" x14ac:dyDescent="0.25">
      <c r="A11" s="28" t="s">
        <v>158</v>
      </c>
      <c r="B11" s="29">
        <v>2450</v>
      </c>
      <c r="C11" s="29">
        <v>1500</v>
      </c>
      <c r="D11" s="29">
        <v>1250</v>
      </c>
      <c r="E11" s="29">
        <v>5200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BEA8-0C75-4EDC-ABEA-19FBBB5A1440}">
  <dimension ref="A1:D13"/>
  <sheetViews>
    <sheetView tabSelected="1" workbookViewId="0">
      <selection activeCell="D2" sqref="D2"/>
    </sheetView>
  </sheetViews>
  <sheetFormatPr defaultRowHeight="15" x14ac:dyDescent="0.25"/>
  <cols>
    <col min="1" max="1" width="25.42578125" customWidth="1"/>
    <col min="2" max="2" width="19.42578125" customWidth="1"/>
    <col min="3" max="3" width="20.7109375" customWidth="1"/>
    <col min="4" max="4" width="12.5703125" bestFit="1" customWidth="1"/>
  </cols>
  <sheetData>
    <row r="1" spans="1:4" ht="35.25" customHeight="1" thickBot="1" x14ac:dyDescent="0.3">
      <c r="A1" s="22" t="s">
        <v>160</v>
      </c>
      <c r="B1" s="22" t="s">
        <v>161</v>
      </c>
      <c r="C1" s="23" t="s">
        <v>162</v>
      </c>
      <c r="D1" s="30" t="s">
        <v>174</v>
      </c>
    </row>
    <row r="2" spans="1:4" ht="35.25" customHeight="1" thickBot="1" x14ac:dyDescent="0.3">
      <c r="A2" s="20" t="s">
        <v>163</v>
      </c>
      <c r="B2" s="20" t="s">
        <v>164</v>
      </c>
      <c r="C2" s="32">
        <v>500</v>
      </c>
      <c r="D2" s="31" t="str" cm="1">
        <f t="array" ref="D2">_xlfn.SWITCH(TRUE, C2 &gt; 600, "High", C2 &gt;= 300, "Medium", "Low")</f>
        <v>Medium</v>
      </c>
    </row>
    <row r="3" spans="1:4" ht="35.25" customHeight="1" thickBot="1" x14ac:dyDescent="0.3">
      <c r="A3" s="20" t="s">
        <v>163</v>
      </c>
      <c r="B3" s="20" t="s">
        <v>165</v>
      </c>
      <c r="C3" s="32">
        <v>200</v>
      </c>
      <c r="D3" s="31" t="str" cm="1">
        <f t="array" ref="D3">_xlfn.SWITCH(TRUE, C3 &gt; 600, "High", C3 &gt;= 300, "Medium", "Low")</f>
        <v>Low</v>
      </c>
    </row>
    <row r="4" spans="1:4" ht="35.25" customHeight="1" thickBot="1" x14ac:dyDescent="0.3">
      <c r="A4" s="20" t="s">
        <v>166</v>
      </c>
      <c r="B4" s="20" t="s">
        <v>164</v>
      </c>
      <c r="C4" s="32">
        <v>700</v>
      </c>
      <c r="D4" s="31" t="str" cm="1">
        <f t="array" ref="D4">_xlfn.SWITCH(TRUE, C4 &gt; 600, "High", C4 &gt;= 300, "Medium", "Low")</f>
        <v>High</v>
      </c>
    </row>
    <row r="5" spans="1:4" ht="35.25" customHeight="1" thickBot="1" x14ac:dyDescent="0.3">
      <c r="A5" s="20" t="s">
        <v>166</v>
      </c>
      <c r="B5" s="20" t="s">
        <v>167</v>
      </c>
      <c r="C5" s="32">
        <v>400</v>
      </c>
      <c r="D5" s="31" t="str" cm="1">
        <f t="array" ref="D5">_xlfn.SWITCH(TRUE, C5 &gt; 600, "High", C5 &gt;= 300, "Medium", "Low")</f>
        <v>Medium</v>
      </c>
    </row>
    <row r="6" spans="1:4" ht="35.25" customHeight="1" thickBot="1" x14ac:dyDescent="0.3">
      <c r="A6" s="20" t="s">
        <v>168</v>
      </c>
      <c r="B6" s="20" t="s">
        <v>165</v>
      </c>
      <c r="C6" s="32">
        <v>150</v>
      </c>
      <c r="D6" s="31" t="str" cm="1">
        <f t="array" ref="D6">_xlfn.SWITCH(TRUE, C6 &gt; 600, "High", C6 &gt;= 300, "Medium", "Low")</f>
        <v>Low</v>
      </c>
    </row>
    <row r="7" spans="1:4" ht="35.25" customHeight="1" thickBot="1" x14ac:dyDescent="0.3">
      <c r="A7" s="20" t="s">
        <v>168</v>
      </c>
      <c r="B7" s="20" t="s">
        <v>164</v>
      </c>
      <c r="C7" s="32">
        <v>600</v>
      </c>
      <c r="D7" s="31" t="str" cm="1">
        <f t="array" ref="D7">_xlfn.SWITCH(TRUE, C7 &gt; 600, "High", C7 &gt;= 300, "Medium", "Low")</f>
        <v>Medium</v>
      </c>
    </row>
    <row r="8" spans="1:4" ht="35.25" customHeight="1" thickBot="1" x14ac:dyDescent="0.3">
      <c r="A8" s="20" t="s">
        <v>169</v>
      </c>
      <c r="B8" s="20" t="s">
        <v>167</v>
      </c>
      <c r="C8" s="32">
        <v>800</v>
      </c>
      <c r="D8" s="31" t="str" cm="1">
        <f t="array" ref="D8">_xlfn.SWITCH(TRUE, C8 &gt; 600, "High", C8 &gt;= 300, "Medium", "Low")</f>
        <v>High</v>
      </c>
    </row>
    <row r="9" spans="1:4" ht="35.25" customHeight="1" thickBot="1" x14ac:dyDescent="0.3">
      <c r="A9" s="20" t="s">
        <v>169</v>
      </c>
      <c r="B9" s="20" t="s">
        <v>165</v>
      </c>
      <c r="C9" s="32">
        <v>300</v>
      </c>
      <c r="D9" s="31" t="str" cm="1">
        <f t="array" ref="D9">_xlfn.SWITCH(TRUE, C9 &gt; 600, "High", C9 &gt;= 300, "Medium", "Low")</f>
        <v>Medium</v>
      </c>
    </row>
    <row r="10" spans="1:4" ht="35.25" customHeight="1" thickBot="1" x14ac:dyDescent="0.3">
      <c r="A10" s="20" t="s">
        <v>170</v>
      </c>
      <c r="B10" s="20" t="s">
        <v>164</v>
      </c>
      <c r="C10" s="32">
        <v>250</v>
      </c>
      <c r="D10" s="31" t="str" cm="1">
        <f t="array" ref="D10">_xlfn.SWITCH(TRUE, C10 &gt; 600, "High", C10 &gt;= 300, "Medium", "Low")</f>
        <v>Low</v>
      </c>
    </row>
    <row r="11" spans="1:4" ht="35.25" customHeight="1" thickBot="1" x14ac:dyDescent="0.3">
      <c r="A11" s="20" t="s">
        <v>170</v>
      </c>
      <c r="B11" s="20" t="s">
        <v>167</v>
      </c>
      <c r="C11" s="32">
        <v>300</v>
      </c>
      <c r="D11" s="31" t="str" cm="1">
        <f t="array" ref="D11">_xlfn.SWITCH(TRUE, C11 &gt; 600, "High", C11 &gt;= 300, "Medium", "Low")</f>
        <v>Medium</v>
      </c>
    </row>
    <row r="12" spans="1:4" ht="35.25" customHeight="1" thickBot="1" x14ac:dyDescent="0.3">
      <c r="A12" s="20" t="s">
        <v>171</v>
      </c>
      <c r="B12" s="20" t="s">
        <v>165</v>
      </c>
      <c r="C12" s="32">
        <v>600</v>
      </c>
      <c r="D12" s="31" t="str" cm="1">
        <f t="array" ref="D12">_xlfn.SWITCH(TRUE, C12 &gt; 600, "High", C12 &gt;= 300, "Medium", "Low")</f>
        <v>Medium</v>
      </c>
    </row>
    <row r="13" spans="1:4" ht="35.25" customHeight="1" thickBot="1" x14ac:dyDescent="0.3">
      <c r="A13" s="24" t="s">
        <v>171</v>
      </c>
      <c r="B13" s="24" t="s">
        <v>164</v>
      </c>
      <c r="C13" s="33">
        <v>400</v>
      </c>
      <c r="D13" s="31" t="str" cm="1">
        <f t="array" ref="D13">_xlfn.SWITCH(TRUE, C13 &gt; 600, "High", C13 &gt;= 300, "Medium", "Low")</f>
        <v>Medium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37F66A5BC9D4B86088EFCF3988A57" ma:contentTypeVersion="7" ma:contentTypeDescription="Create a new document." ma:contentTypeScope="" ma:versionID="31f45ba4de6a961911b9cef788461aae">
  <xsd:schema xmlns:xsd="http://www.w3.org/2001/XMLSchema" xmlns:xs="http://www.w3.org/2001/XMLSchema" xmlns:p="http://schemas.microsoft.com/office/2006/metadata/properties" xmlns:ns2="fdd02299-75fe-4197-bef3-d4e2ec181b9b" targetNamespace="http://schemas.microsoft.com/office/2006/metadata/properties" ma:root="true" ma:fieldsID="765b4bf5cb047a9be7b93114ac011c96" ns2:_="">
    <xsd:import namespace="fdd02299-75fe-4197-bef3-d4e2ec181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2299-75fe-4197-bef3-d4e2ec181b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4BD41B-37EF-4194-87D3-019CB00116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d02299-75fe-4197-bef3-d4e2ec181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143e5899-c3ad-4e4a-825f-a4f553d1bed5"/>
    <ds:schemaRef ds:uri="d04a151f-8544-4df3-8d92-0e631918d84f"/>
  </ds:schemaRefs>
</ds:datastoreItem>
</file>

<file path=customXml/itemProps3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Bike Sales</vt:lpstr>
      <vt:lpstr>Bike Sales (2)</vt:lpstr>
      <vt:lpstr>PIVOT TABLE</vt:lpstr>
      <vt:lpstr>Day3Task2</vt:lpstr>
      <vt:lpstr>Task2PIVOT</vt:lpstr>
      <vt:lpstr>Day3Task2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Saharsh Jakkula</cp:lastModifiedBy>
  <cp:revision/>
  <dcterms:created xsi:type="dcterms:W3CDTF">2022-11-04T20:14:11Z</dcterms:created>
  <dcterms:modified xsi:type="dcterms:W3CDTF">2025-09-11T09:29:32Z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0x0101006C637F66A5BC9D4B86088EFCF3988A57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