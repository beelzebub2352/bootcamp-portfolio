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JustIT\Week 1\Day 2 Resources\Dataset\"/>
    </mc:Choice>
  </mc:AlternateContent>
  <xr:revisionPtr revIDLastSave="0" documentId="13_ncr:1_{C7B19529-3C53-4DDE-8E7C-C7D0093CDE9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BakerySalesMorning" sheetId="1" r:id="rId1"/>
  </sheets>
  <definedNames>
    <definedName name="Quantity">BakerySalesMorning!$E$2:$E$96</definedName>
    <definedName name="Unit_Price">BakerySalesMorning!$F$2:$F$96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6" i="1"/>
  <c r="J5" i="1"/>
  <c r="J4" i="1"/>
  <c r="J3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G3" i="1"/>
  <c r="G4" i="1"/>
  <c r="G5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</calcChain>
</file>

<file path=xl/sharedStrings.xml><?xml version="1.0" encoding="utf-8"?>
<sst xmlns="http://schemas.openxmlformats.org/spreadsheetml/2006/main" count="297" uniqueCount="77">
  <si>
    <t>Quantity</t>
  </si>
  <si>
    <t>2021-01-02</t>
  </si>
  <si>
    <t>08:38</t>
  </si>
  <si>
    <t>BAGUETTE</t>
  </si>
  <si>
    <t>PAIN AU CHOCOLAT</t>
  </si>
  <si>
    <t>09:14</t>
  </si>
  <si>
    <t>PAIN</t>
  </si>
  <si>
    <t>09:25</t>
  </si>
  <si>
    <t>TRADITIONAL BAGUETTE</t>
  </si>
  <si>
    <t>CROISSANT</t>
  </si>
  <si>
    <t>09:27</t>
  </si>
  <si>
    <t>BANETTE</t>
  </si>
  <si>
    <t>09:32</t>
  </si>
  <si>
    <t>09:37</t>
  </si>
  <si>
    <t>09:39</t>
  </si>
  <si>
    <t>09:40</t>
  </si>
  <si>
    <t>09:41</t>
  </si>
  <si>
    <t>09:46</t>
  </si>
  <si>
    <t>09:48</t>
  </si>
  <si>
    <t>BANETTINE</t>
  </si>
  <si>
    <t>SPECIAL BREAD</t>
  </si>
  <si>
    <t>COUPE</t>
  </si>
  <si>
    <t>SAND JB EMMENTAL</t>
  </si>
  <si>
    <t>09:49</t>
  </si>
  <si>
    <t>KOUIGN AMANN</t>
  </si>
  <si>
    <t>09:57</t>
  </si>
  <si>
    <t>09:58</t>
  </si>
  <si>
    <t>10:03</t>
  </si>
  <si>
    <t>10:04</t>
  </si>
  <si>
    <t>10:05</t>
  </si>
  <si>
    <t>10:12</t>
  </si>
  <si>
    <t>BOULE 200G</t>
  </si>
  <si>
    <t>10:17</t>
  </si>
  <si>
    <t>BOULE 400G</t>
  </si>
  <si>
    <t>10:18</t>
  </si>
  <si>
    <t>GAL FRANGIPANE 6P</t>
  </si>
  <si>
    <t>CAMPAGNE</t>
  </si>
  <si>
    <t>MOISSON</t>
  </si>
  <si>
    <t>10:22</t>
  </si>
  <si>
    <t>CAFE OU EAU</t>
  </si>
  <si>
    <t>10:24</t>
  </si>
  <si>
    <t>10:25</t>
  </si>
  <si>
    <t>10:29</t>
  </si>
  <si>
    <t>BRIOCHE</t>
  </si>
  <si>
    <t>CEREAL BAGUETTE</t>
  </si>
  <si>
    <t>10:33</t>
  </si>
  <si>
    <t>10:34</t>
  </si>
  <si>
    <t>10:39</t>
  </si>
  <si>
    <t>10:40</t>
  </si>
  <si>
    <t>10:42</t>
  </si>
  <si>
    <t>10:44</t>
  </si>
  <si>
    <t>SEIGLE</t>
  </si>
  <si>
    <t>10:46</t>
  </si>
  <si>
    <t>10:49</t>
  </si>
  <si>
    <t>COMPLET</t>
  </si>
  <si>
    <t>10:50</t>
  </si>
  <si>
    <t>10:51</t>
  </si>
  <si>
    <t>DIVERS PATISSERIE</t>
  </si>
  <si>
    <t>GAL FRANGIPANE 4P</t>
  </si>
  <si>
    <t>10:53</t>
  </si>
  <si>
    <t>10:54</t>
  </si>
  <si>
    <t>10:55</t>
  </si>
  <si>
    <t>COOKIE</t>
  </si>
  <si>
    <t>10:56</t>
  </si>
  <si>
    <t>10:57</t>
  </si>
  <si>
    <t>10:58</t>
  </si>
  <si>
    <t>Ticket_Number</t>
  </si>
  <si>
    <t>Date</t>
  </si>
  <si>
    <t>Time</t>
  </si>
  <si>
    <t>Unit_Price</t>
  </si>
  <si>
    <t>Revenue</t>
  </si>
  <si>
    <t>Average revenue per transaction:</t>
  </si>
  <si>
    <t>Maximum revenue per transaction:</t>
  </si>
  <si>
    <t>Number of items sold:</t>
  </si>
  <si>
    <t>Total Revenue earned during breakfast:</t>
  </si>
  <si>
    <t>Item</t>
  </si>
  <si>
    <t>Total transactions: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</si>
</sst>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yyyy\-mm\-dd;@"/>
    <numFmt numFmtId="166" formatCode="[$-F400]h:mm:ss\ AM/PM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65" formatCode="yyyy\-mm\-dd;@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6" formatCode="[$-F400]h:mm:ss\ AM/PM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415D2A-EED9-4D9B-8C6D-F6C664372019}" name="Bakery" displayName="Bakery" ref="A1:G96" totalsRowShown="0">
  <autoFilter ref="A1:G96" xr:uid="{6D415D2A-EED9-4D9B-8C6D-F6C664372019}"/>
  <tableColumns count="7">
    <tableColumn id="1" xr3:uid="{9D99A9C5-B1AB-43E6-9135-8166DBE0984E}" name="Ticket_Number" dataDxfId="0"/>
    <tableColumn id="2" xr3:uid="{73D293A8-D752-44D5-921E-857F87F06982}" name="Date" dataDxfId="1"/>
    <tableColumn id="3" xr3:uid="{47295B98-F99A-42CB-8243-A53EBBCB83D3}" name="Time" dataDxfId="6"/>
    <tableColumn id="4" xr3:uid="{FD72C189-248F-48C4-86B9-DF1EAF5D457D}" name="Item"/>
    <tableColumn id="5" xr3:uid="{8D7B08DA-0502-4869-BEBC-72304EA29220}" name="Quantity"/>
    <tableColumn id="6" xr3:uid="{A8B3A5A4-65EE-45CB-8741-528F3FAE174D}" name="Unit_Price" dataDxfId="5"/>
    <tableColumn id="7" xr3:uid="{F7397868-AC27-4C33-9CFC-E895C5AF4ED2}" name="Revenue" dataDxfId="4">
      <calculatedColumnFormula>Bakery[[#This Row],[Quantity]]*Bakery[[#This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showFormulas="1" tabSelected="1" topLeftCell="B1" zoomScale="190" zoomScaleNormal="190" workbookViewId="0">
      <selection activeCell="G1" sqref="G1"/>
    </sheetView>
  </sheetViews>
  <sheetFormatPr defaultRowHeight="15" x14ac:dyDescent="0.25"/>
  <cols>
    <col min="1" max="1" width="8.28515625" customWidth="1"/>
    <col min="2" max="2" width="7.42578125" customWidth="1"/>
    <col min="3" max="3" width="4.42578125" customWidth="1"/>
    <col min="4" max="4" width="11.7109375" customWidth="1"/>
    <col min="5" max="5" width="9.85546875" customWidth="1"/>
    <col min="6" max="6" width="11.85546875" customWidth="1"/>
    <col min="7" max="7" width="14" customWidth="1"/>
    <col min="8" max="8" width="1.7109375" customWidth="1"/>
    <col min="9" max="9" width="17.85546875" customWidth="1"/>
    <col min="10" max="10" width="14.140625" customWidth="1"/>
  </cols>
  <sheetData>
    <row r="1" spans="1:10" x14ac:dyDescent="0.25">
      <c r="A1" s="6" t="s">
        <v>66</v>
      </c>
      <c r="B1" s="2" t="s">
        <v>67</v>
      </c>
      <c r="C1" s="5" t="s">
        <v>68</v>
      </c>
      <c r="D1" s="4" t="s">
        <v>75</v>
      </c>
      <c r="E1" t="s">
        <v>0</v>
      </c>
      <c r="F1" s="1" t="s">
        <v>69</v>
      </c>
      <c r="G1" s="4" t="s">
        <v>70</v>
      </c>
    </row>
    <row r="2" spans="1:10" x14ac:dyDescent="0.25">
      <c r="A2" s="6">
        <v>150040</v>
      </c>
      <c r="B2" s="2" t="s">
        <v>1</v>
      </c>
      <c r="C2" s="3" t="s">
        <v>2</v>
      </c>
      <c r="D2" t="s">
        <v>3</v>
      </c>
      <c r="E2">
        <v>1</v>
      </c>
      <c r="F2" s="1">
        <v>0.9</v>
      </c>
      <c r="G2" s="1">
        <f>Bakery[[#This Row],[Quantity]]*Bakery[[#This Row],[Unit_Price]]</f>
        <v>0.9</v>
      </c>
      <c r="I2" s="4" t="s">
        <v>74</v>
      </c>
      <c r="J2" s="1">
        <f>SUM(Bakery[Revenue])</f>
        <v>257.25000000000006</v>
      </c>
    </row>
    <row r="3" spans="1:10" x14ac:dyDescent="0.25">
      <c r="A3" s="6">
        <v>150040</v>
      </c>
      <c r="B3" s="2" t="s">
        <v>1</v>
      </c>
      <c r="C3" s="3" t="s">
        <v>2</v>
      </c>
      <c r="D3" t="s">
        <v>4</v>
      </c>
      <c r="E3">
        <v>3</v>
      </c>
      <c r="F3" s="1">
        <v>1.2</v>
      </c>
      <c r="G3" s="1">
        <f>Bakery[[#This Row],[Quantity]]*Bakery[[#This Row],[Unit_Price]]</f>
        <v>3.5999999999999996</v>
      </c>
      <c r="I3" s="4" t="s">
        <v>73</v>
      </c>
      <c r="J3" s="4">
        <f>SUM(Quantity)</f>
        <v>189</v>
      </c>
    </row>
    <row r="4" spans="1:10" x14ac:dyDescent="0.25">
      <c r="A4" s="6">
        <v>150041</v>
      </c>
      <c r="B4" s="2" t="s">
        <v>1</v>
      </c>
      <c r="C4" s="3" t="s">
        <v>5</v>
      </c>
      <c r="D4" t="s">
        <v>4</v>
      </c>
      <c r="E4">
        <v>2</v>
      </c>
      <c r="F4" s="1">
        <v>1.2</v>
      </c>
      <c r="G4" s="1">
        <f>Bakery[[#This Row],[Quantity]]*Bakery[[#This Row],[Unit_Price]]</f>
        <v>2.4</v>
      </c>
      <c r="I4" s="4" t="s">
        <v>71</v>
      </c>
      <c r="J4" s="1">
        <f>AVERAGE(Bakery[Revenue])</f>
        <v>2.707894736842106</v>
      </c>
    </row>
    <row r="5" spans="1:10" x14ac:dyDescent="0.25">
      <c r="A5" s="6">
        <v>150041</v>
      </c>
      <c r="B5" s="2" t="s">
        <v>1</v>
      </c>
      <c r="C5" s="3" t="s">
        <v>5</v>
      </c>
      <c r="D5" t="s">
        <v>6</v>
      </c>
      <c r="E5">
        <v>1</v>
      </c>
      <c r="F5" s="1">
        <v>1.1499999999999999</v>
      </c>
      <c r="G5" s="1">
        <f>Bakery[[#This Row],[Quantity]]*Bakery[[#This Row],[Unit_Price]]</f>
        <v>1.1499999999999999</v>
      </c>
      <c r="I5" s="4" t="s">
        <v>72</v>
      </c>
      <c r="J5" s="1">
        <f>MAX(Bakery[Revenue])</f>
        <v>12</v>
      </c>
    </row>
    <row r="6" spans="1:10" x14ac:dyDescent="0.25">
      <c r="A6" s="6">
        <v>150042</v>
      </c>
      <c r="B6" s="2" t="s">
        <v>1</v>
      </c>
      <c r="C6" s="3" t="s">
        <v>7</v>
      </c>
      <c r="D6" t="s">
        <v>8</v>
      </c>
      <c r="E6">
        <v>5</v>
      </c>
      <c r="F6" s="1">
        <v>1.2</v>
      </c>
      <c r="G6" s="1">
        <f>Bakery[[#This Row],[Quantity]]*Bakery[[#This Row],[Unit_Price]]</f>
        <v>6</v>
      </c>
      <c r="I6" s="4" t="s">
        <v>76</v>
      </c>
      <c r="J6" s="4">
        <f>COUNT(Quantity)</f>
        <v>95</v>
      </c>
    </row>
    <row r="7" spans="1:10" x14ac:dyDescent="0.25">
      <c r="A7" s="6">
        <v>150043</v>
      </c>
      <c r="B7" s="2" t="s">
        <v>1</v>
      </c>
      <c r="C7" s="3" t="s">
        <v>7</v>
      </c>
      <c r="D7" t="s">
        <v>3</v>
      </c>
      <c r="E7">
        <v>2</v>
      </c>
      <c r="F7" s="1">
        <v>0.9</v>
      </c>
      <c r="G7" s="1">
        <f>Bakery[[#This Row],[Quantity]]*Bakery[[#This Row],[Unit_Price]]</f>
        <v>1.8</v>
      </c>
      <c r="I7" s="4"/>
      <c r="J7" s="1"/>
    </row>
    <row r="8" spans="1:10" x14ac:dyDescent="0.25">
      <c r="A8" s="6">
        <v>150043</v>
      </c>
      <c r="B8" s="2" t="s">
        <v>1</v>
      </c>
      <c r="C8" s="3" t="s">
        <v>7</v>
      </c>
      <c r="D8" t="s">
        <v>9</v>
      </c>
      <c r="E8">
        <v>3</v>
      </c>
      <c r="F8" s="1">
        <v>1.1000000000000001</v>
      </c>
      <c r="G8" s="1">
        <f>Bakery[[#This Row],[Quantity]]*Bakery[[#This Row],[Unit_Price]]</f>
        <v>3.3000000000000003</v>
      </c>
    </row>
    <row r="9" spans="1:10" x14ac:dyDescent="0.25">
      <c r="A9" s="6">
        <v>150044</v>
      </c>
      <c r="B9" s="2" t="s">
        <v>1</v>
      </c>
      <c r="C9" s="3" t="s">
        <v>10</v>
      </c>
      <c r="D9" t="s">
        <v>11</v>
      </c>
      <c r="E9">
        <v>1</v>
      </c>
      <c r="F9" s="1">
        <v>1.05</v>
      </c>
      <c r="G9" s="1">
        <f>Bakery[[#This Row],[Quantity]]*Bakery[[#This Row],[Unit_Price]]</f>
        <v>1.05</v>
      </c>
      <c r="J9" s="1"/>
    </row>
    <row r="10" spans="1:10" x14ac:dyDescent="0.25">
      <c r="A10" s="6">
        <v>150045</v>
      </c>
      <c r="B10" s="2" t="s">
        <v>1</v>
      </c>
      <c r="C10" s="3" t="s">
        <v>12</v>
      </c>
      <c r="D10" t="s">
        <v>8</v>
      </c>
      <c r="E10">
        <v>3</v>
      </c>
      <c r="F10" s="1">
        <v>1.2</v>
      </c>
      <c r="G10" s="1">
        <f>Bakery[[#This Row],[Quantity]]*Bakery[[#This Row],[Unit_Price]]</f>
        <v>3.5999999999999996</v>
      </c>
      <c r="J10" s="1"/>
    </row>
    <row r="11" spans="1:10" x14ac:dyDescent="0.25">
      <c r="A11" s="6">
        <v>150045</v>
      </c>
      <c r="B11" s="2" t="s">
        <v>1</v>
      </c>
      <c r="C11" s="3" t="s">
        <v>12</v>
      </c>
      <c r="D11" t="s">
        <v>9</v>
      </c>
      <c r="E11">
        <v>6</v>
      </c>
      <c r="F11" s="1">
        <v>1.1000000000000001</v>
      </c>
      <c r="G11" s="1">
        <f>Bakery[[#This Row],[Quantity]]*Bakery[[#This Row],[Unit_Price]]</f>
        <v>6.6000000000000005</v>
      </c>
      <c r="J11" s="1"/>
    </row>
    <row r="12" spans="1:10" x14ac:dyDescent="0.25">
      <c r="A12" s="6">
        <v>150046</v>
      </c>
      <c r="B12" s="2" t="s">
        <v>1</v>
      </c>
      <c r="C12" s="3" t="s">
        <v>13</v>
      </c>
      <c r="D12" t="s">
        <v>4</v>
      </c>
      <c r="E12">
        <v>6</v>
      </c>
      <c r="F12" s="1">
        <v>1.2</v>
      </c>
      <c r="G12" s="1">
        <f>Bakery[[#This Row],[Quantity]]*Bakery[[#This Row],[Unit_Price]]</f>
        <v>7.1999999999999993</v>
      </c>
      <c r="J12" s="1"/>
    </row>
    <row r="13" spans="1:10" x14ac:dyDescent="0.25">
      <c r="A13" s="6">
        <v>150046</v>
      </c>
      <c r="B13" s="2" t="s">
        <v>1</v>
      </c>
      <c r="C13" s="3" t="s">
        <v>13</v>
      </c>
      <c r="D13" t="s">
        <v>9</v>
      </c>
      <c r="E13">
        <v>6</v>
      </c>
      <c r="F13" s="1">
        <v>1.1000000000000001</v>
      </c>
      <c r="G13" s="1">
        <f>Bakery[[#This Row],[Quantity]]*Bakery[[#This Row],[Unit_Price]]</f>
        <v>6.6000000000000005</v>
      </c>
      <c r="J13" s="1"/>
    </row>
    <row r="14" spans="1:10" x14ac:dyDescent="0.25">
      <c r="A14" s="6">
        <v>150046</v>
      </c>
      <c r="B14" s="2" t="s">
        <v>1</v>
      </c>
      <c r="C14" s="3" t="s">
        <v>13</v>
      </c>
      <c r="D14" t="s">
        <v>8</v>
      </c>
      <c r="E14">
        <v>6</v>
      </c>
      <c r="F14" s="1">
        <v>1.2</v>
      </c>
      <c r="G14" s="1">
        <f>Bakery[[#This Row],[Quantity]]*Bakery[[#This Row],[Unit_Price]]</f>
        <v>7.1999999999999993</v>
      </c>
      <c r="J14" s="1"/>
    </row>
    <row r="15" spans="1:10" x14ac:dyDescent="0.25">
      <c r="A15" s="6">
        <v>150048</v>
      </c>
      <c r="B15" s="2" t="s">
        <v>1</v>
      </c>
      <c r="C15" s="3" t="s">
        <v>14</v>
      </c>
      <c r="D15" t="s">
        <v>9</v>
      </c>
      <c r="E15">
        <v>3</v>
      </c>
      <c r="F15" s="1">
        <v>1.1000000000000001</v>
      </c>
      <c r="G15" s="1">
        <f>Bakery[[#This Row],[Quantity]]*Bakery[[#This Row],[Unit_Price]]</f>
        <v>3.3000000000000003</v>
      </c>
      <c r="J15" s="1"/>
    </row>
    <row r="16" spans="1:10" x14ac:dyDescent="0.25">
      <c r="A16" s="6">
        <v>150049</v>
      </c>
      <c r="B16" s="2" t="s">
        <v>1</v>
      </c>
      <c r="C16" s="3" t="s">
        <v>15</v>
      </c>
      <c r="D16" t="s">
        <v>9</v>
      </c>
      <c r="E16">
        <v>2</v>
      </c>
      <c r="F16" s="1">
        <v>1.1000000000000001</v>
      </c>
      <c r="G16" s="1">
        <f>Bakery[[#This Row],[Quantity]]*Bakery[[#This Row],[Unit_Price]]</f>
        <v>2.2000000000000002</v>
      </c>
      <c r="J16" s="1"/>
    </row>
    <row r="17" spans="1:10" x14ac:dyDescent="0.25">
      <c r="A17" s="6">
        <v>150049</v>
      </c>
      <c r="B17" s="2" t="s">
        <v>1</v>
      </c>
      <c r="C17" s="3" t="s">
        <v>15</v>
      </c>
      <c r="D17" t="s">
        <v>8</v>
      </c>
      <c r="E17">
        <v>1</v>
      </c>
      <c r="F17" s="1">
        <v>1.2</v>
      </c>
      <c r="G17" s="1">
        <f>Bakery[[#This Row],[Quantity]]*Bakery[[#This Row],[Unit_Price]]</f>
        <v>1.2</v>
      </c>
      <c r="J17" s="1"/>
    </row>
    <row r="18" spans="1:10" x14ac:dyDescent="0.25">
      <c r="A18" s="6">
        <v>150050</v>
      </c>
      <c r="B18" s="2" t="s">
        <v>1</v>
      </c>
      <c r="C18" s="3" t="s">
        <v>16</v>
      </c>
      <c r="D18" t="s">
        <v>8</v>
      </c>
      <c r="E18">
        <v>2</v>
      </c>
      <c r="F18" s="1">
        <v>1.2</v>
      </c>
      <c r="G18" s="1">
        <f>Bakery[[#This Row],[Quantity]]*Bakery[[#This Row],[Unit_Price]]</f>
        <v>2.4</v>
      </c>
      <c r="J18" s="1"/>
    </row>
    <row r="19" spans="1:10" x14ac:dyDescent="0.25">
      <c r="A19" s="6">
        <v>150051</v>
      </c>
      <c r="B19" s="2" t="s">
        <v>1</v>
      </c>
      <c r="C19" s="3" t="s">
        <v>17</v>
      </c>
      <c r="D19" t="s">
        <v>6</v>
      </c>
      <c r="E19">
        <v>1</v>
      </c>
      <c r="F19" s="1">
        <v>1.1499999999999999</v>
      </c>
      <c r="G19" s="1">
        <f>Bakery[[#This Row],[Quantity]]*Bakery[[#This Row],[Unit_Price]]</f>
        <v>1.1499999999999999</v>
      </c>
      <c r="J19" s="1"/>
    </row>
    <row r="20" spans="1:10" x14ac:dyDescent="0.25">
      <c r="A20" s="6">
        <v>150052</v>
      </c>
      <c r="B20" s="2" t="s">
        <v>1</v>
      </c>
      <c r="C20" s="3" t="s">
        <v>18</v>
      </c>
      <c r="D20" t="s">
        <v>19</v>
      </c>
      <c r="E20">
        <v>1</v>
      </c>
      <c r="F20" s="1">
        <v>0.6</v>
      </c>
      <c r="G20" s="1">
        <f>Bakery[[#This Row],[Quantity]]*Bakery[[#This Row],[Unit_Price]]</f>
        <v>0.6</v>
      </c>
      <c r="J20" s="1"/>
    </row>
    <row r="21" spans="1:10" x14ac:dyDescent="0.25">
      <c r="A21" s="6">
        <v>150052</v>
      </c>
      <c r="B21" s="2" t="s">
        <v>1</v>
      </c>
      <c r="C21" s="3" t="s">
        <v>18</v>
      </c>
      <c r="D21" t="s">
        <v>20</v>
      </c>
      <c r="E21">
        <v>1</v>
      </c>
      <c r="F21" s="1">
        <v>2.4</v>
      </c>
      <c r="G21" s="1">
        <f>Bakery[[#This Row],[Quantity]]*Bakery[[#This Row],[Unit_Price]]</f>
        <v>2.4</v>
      </c>
      <c r="J21" s="1"/>
    </row>
    <row r="22" spans="1:10" x14ac:dyDescent="0.25">
      <c r="A22" s="6">
        <v>150052</v>
      </c>
      <c r="B22" s="2" t="s">
        <v>1</v>
      </c>
      <c r="C22" s="3" t="s">
        <v>18</v>
      </c>
      <c r="D22" t="s">
        <v>21</v>
      </c>
      <c r="E22">
        <v>1</v>
      </c>
      <c r="F22" s="1">
        <v>0.15</v>
      </c>
      <c r="G22" s="1">
        <f>Bakery[[#This Row],[Quantity]]*Bakery[[#This Row],[Unit_Price]]</f>
        <v>0.15</v>
      </c>
      <c r="J22" s="1"/>
    </row>
    <row r="23" spans="1:10" x14ac:dyDescent="0.25">
      <c r="A23" s="6">
        <v>150053</v>
      </c>
      <c r="B23" s="2" t="s">
        <v>1</v>
      </c>
      <c r="C23" s="3" t="s">
        <v>18</v>
      </c>
      <c r="D23" t="s">
        <v>8</v>
      </c>
      <c r="E23">
        <v>1</v>
      </c>
      <c r="F23" s="1">
        <v>1.2</v>
      </c>
      <c r="G23" s="1">
        <f>Bakery[[#This Row],[Quantity]]*Bakery[[#This Row],[Unit_Price]]</f>
        <v>1.2</v>
      </c>
      <c r="J23" s="1"/>
    </row>
    <row r="24" spans="1:10" x14ac:dyDescent="0.25">
      <c r="A24" s="6">
        <v>150053</v>
      </c>
      <c r="B24" s="2" t="s">
        <v>1</v>
      </c>
      <c r="C24" s="3" t="s">
        <v>18</v>
      </c>
      <c r="D24" t="s">
        <v>22</v>
      </c>
      <c r="E24">
        <v>2</v>
      </c>
      <c r="F24" s="1">
        <v>3.5</v>
      </c>
      <c r="G24" s="1">
        <f>Bakery[[#This Row],[Quantity]]*Bakery[[#This Row],[Unit_Price]]</f>
        <v>7</v>
      </c>
      <c r="J24" s="1"/>
    </row>
    <row r="25" spans="1:10" x14ac:dyDescent="0.25">
      <c r="A25" s="6">
        <v>150054</v>
      </c>
      <c r="B25" s="2" t="s">
        <v>1</v>
      </c>
      <c r="C25" s="3" t="s">
        <v>23</v>
      </c>
      <c r="D25" t="s">
        <v>24</v>
      </c>
      <c r="E25">
        <v>1</v>
      </c>
      <c r="F25" s="1">
        <v>2.1</v>
      </c>
      <c r="G25" s="1">
        <f>Bakery[[#This Row],[Quantity]]*Bakery[[#This Row],[Unit_Price]]</f>
        <v>2.1</v>
      </c>
      <c r="J25" s="1"/>
    </row>
    <row r="26" spans="1:10" x14ac:dyDescent="0.25">
      <c r="A26" s="6">
        <v>150054</v>
      </c>
      <c r="B26" s="2" t="s">
        <v>1</v>
      </c>
      <c r="C26" s="3" t="s">
        <v>23</v>
      </c>
      <c r="D26" t="s">
        <v>6</v>
      </c>
      <c r="E26">
        <v>2</v>
      </c>
      <c r="F26" s="1">
        <v>1.1499999999999999</v>
      </c>
      <c r="G26" s="1">
        <f>Bakery[[#This Row],[Quantity]]*Bakery[[#This Row],[Unit_Price]]</f>
        <v>2.2999999999999998</v>
      </c>
      <c r="J26" s="1"/>
    </row>
    <row r="27" spans="1:10" x14ac:dyDescent="0.25">
      <c r="A27" s="6">
        <v>150055</v>
      </c>
      <c r="B27" s="2" t="s">
        <v>1</v>
      </c>
      <c r="C27" s="3" t="s">
        <v>25</v>
      </c>
      <c r="D27" t="s">
        <v>8</v>
      </c>
      <c r="E27">
        <v>4</v>
      </c>
      <c r="F27" s="1">
        <v>1.2</v>
      </c>
      <c r="G27" s="1">
        <f>Bakery[[#This Row],[Quantity]]*Bakery[[#This Row],[Unit_Price]]</f>
        <v>4.8</v>
      </c>
      <c r="J27" s="1"/>
    </row>
    <row r="28" spans="1:10" x14ac:dyDescent="0.25">
      <c r="A28" s="6">
        <v>150056</v>
      </c>
      <c r="B28" s="2" t="s">
        <v>1</v>
      </c>
      <c r="C28" s="3" t="s">
        <v>26</v>
      </c>
      <c r="D28" t="s">
        <v>11</v>
      </c>
      <c r="E28">
        <v>3</v>
      </c>
      <c r="F28" s="1">
        <v>1.05</v>
      </c>
      <c r="G28" s="1">
        <f>Bakery[[#This Row],[Quantity]]*Bakery[[#This Row],[Unit_Price]]</f>
        <v>3.1500000000000004</v>
      </c>
      <c r="J28" s="1"/>
    </row>
    <row r="29" spans="1:10" x14ac:dyDescent="0.25">
      <c r="A29" s="6">
        <v>150056</v>
      </c>
      <c r="B29" s="2" t="s">
        <v>1</v>
      </c>
      <c r="C29" s="3" t="s">
        <v>26</v>
      </c>
      <c r="D29" t="s">
        <v>9</v>
      </c>
      <c r="E29">
        <v>5</v>
      </c>
      <c r="F29" s="1">
        <v>1.1000000000000001</v>
      </c>
      <c r="G29" s="1">
        <f>Bakery[[#This Row],[Quantity]]*Bakery[[#This Row],[Unit_Price]]</f>
        <v>5.5</v>
      </c>
      <c r="J29" s="1"/>
    </row>
    <row r="30" spans="1:10" x14ac:dyDescent="0.25">
      <c r="A30" s="6">
        <v>150058</v>
      </c>
      <c r="B30" s="2" t="s">
        <v>1</v>
      </c>
      <c r="C30" s="3" t="s">
        <v>27</v>
      </c>
      <c r="D30" t="s">
        <v>8</v>
      </c>
      <c r="E30">
        <v>2</v>
      </c>
      <c r="F30" s="1">
        <v>1.2</v>
      </c>
      <c r="G30" s="1">
        <f>Bakery[[#This Row],[Quantity]]*Bakery[[#This Row],[Unit_Price]]</f>
        <v>2.4</v>
      </c>
      <c r="J30" s="1"/>
    </row>
    <row r="31" spans="1:10" x14ac:dyDescent="0.25">
      <c r="A31" s="6">
        <v>150058</v>
      </c>
      <c r="B31" s="2" t="s">
        <v>1</v>
      </c>
      <c r="C31" s="3" t="s">
        <v>27</v>
      </c>
      <c r="D31" t="s">
        <v>9</v>
      </c>
      <c r="E31">
        <v>2</v>
      </c>
      <c r="F31" s="1">
        <v>1.1000000000000001</v>
      </c>
      <c r="G31" s="1">
        <f>Bakery[[#This Row],[Quantity]]*Bakery[[#This Row],[Unit_Price]]</f>
        <v>2.2000000000000002</v>
      </c>
      <c r="J31" s="1"/>
    </row>
    <row r="32" spans="1:10" x14ac:dyDescent="0.25">
      <c r="A32" s="6">
        <v>150058</v>
      </c>
      <c r="B32" s="2" t="s">
        <v>1</v>
      </c>
      <c r="C32" s="3" t="s">
        <v>27</v>
      </c>
      <c r="D32" t="s">
        <v>4</v>
      </c>
      <c r="E32">
        <v>2</v>
      </c>
      <c r="F32" s="1">
        <v>1.2</v>
      </c>
      <c r="G32" s="1">
        <f>Bakery[[#This Row],[Quantity]]*Bakery[[#This Row],[Unit_Price]]</f>
        <v>2.4</v>
      </c>
      <c r="J32" s="1"/>
    </row>
    <row r="33" spans="1:10" x14ac:dyDescent="0.25">
      <c r="A33" s="6">
        <v>150059</v>
      </c>
      <c r="B33" s="2" t="s">
        <v>1</v>
      </c>
      <c r="C33" s="3" t="s">
        <v>28</v>
      </c>
      <c r="D33" t="s">
        <v>8</v>
      </c>
      <c r="E33">
        <v>4</v>
      </c>
      <c r="F33" s="1">
        <v>1.2</v>
      </c>
      <c r="G33" s="1">
        <f>Bakery[[#This Row],[Quantity]]*Bakery[[#This Row],[Unit_Price]]</f>
        <v>4.8</v>
      </c>
      <c r="J33" s="1"/>
    </row>
    <row r="34" spans="1:10" x14ac:dyDescent="0.25">
      <c r="A34" s="6">
        <v>150060</v>
      </c>
      <c r="B34" s="2" t="s">
        <v>1</v>
      </c>
      <c r="C34" s="3" t="s">
        <v>29</v>
      </c>
      <c r="D34" t="s">
        <v>8</v>
      </c>
      <c r="E34">
        <v>4</v>
      </c>
      <c r="F34" s="1">
        <v>1.2</v>
      </c>
      <c r="G34" s="1">
        <f>Bakery[[#This Row],[Quantity]]*Bakery[[#This Row],[Unit_Price]]</f>
        <v>4.8</v>
      </c>
      <c r="J34" s="1"/>
    </row>
    <row r="35" spans="1:10" x14ac:dyDescent="0.25">
      <c r="A35" s="6">
        <v>150061</v>
      </c>
      <c r="B35" s="2" t="s">
        <v>1</v>
      </c>
      <c r="C35" s="3" t="s">
        <v>30</v>
      </c>
      <c r="D35" t="s">
        <v>20</v>
      </c>
      <c r="E35">
        <v>1</v>
      </c>
      <c r="F35" s="1">
        <v>2.4</v>
      </c>
      <c r="G35" s="1">
        <f>Bakery[[#This Row],[Quantity]]*Bakery[[#This Row],[Unit_Price]]</f>
        <v>2.4</v>
      </c>
      <c r="J35" s="1"/>
    </row>
    <row r="36" spans="1:10" x14ac:dyDescent="0.25">
      <c r="A36" s="6">
        <v>150061</v>
      </c>
      <c r="B36" s="2" t="s">
        <v>1</v>
      </c>
      <c r="C36" s="3" t="s">
        <v>30</v>
      </c>
      <c r="D36" t="s">
        <v>21</v>
      </c>
      <c r="E36">
        <v>1</v>
      </c>
      <c r="F36" s="1">
        <v>0.15</v>
      </c>
      <c r="G36" s="1">
        <f>Bakery[[#This Row],[Quantity]]*Bakery[[#This Row],[Unit_Price]]</f>
        <v>0.15</v>
      </c>
      <c r="J36" s="1"/>
    </row>
    <row r="37" spans="1:10" x14ac:dyDescent="0.25">
      <c r="A37" s="6">
        <v>150061</v>
      </c>
      <c r="B37" s="2" t="s">
        <v>1</v>
      </c>
      <c r="C37" s="3" t="s">
        <v>30</v>
      </c>
      <c r="D37" t="s">
        <v>31</v>
      </c>
      <c r="E37">
        <v>1</v>
      </c>
      <c r="F37" s="1">
        <v>1.1000000000000001</v>
      </c>
      <c r="G37" s="1">
        <f>Bakery[[#This Row],[Quantity]]*Bakery[[#This Row],[Unit_Price]]</f>
        <v>1.1000000000000001</v>
      </c>
      <c r="J37" s="1"/>
    </row>
    <row r="38" spans="1:10" x14ac:dyDescent="0.25">
      <c r="A38" s="6">
        <v>150061</v>
      </c>
      <c r="B38" s="2" t="s">
        <v>1</v>
      </c>
      <c r="C38" s="3" t="s">
        <v>30</v>
      </c>
      <c r="D38" t="s">
        <v>21</v>
      </c>
      <c r="E38">
        <v>1</v>
      </c>
      <c r="F38" s="1">
        <v>0.15</v>
      </c>
      <c r="G38" s="1">
        <f>Bakery[[#This Row],[Quantity]]*Bakery[[#This Row],[Unit_Price]]</f>
        <v>0.15</v>
      </c>
      <c r="J38" s="1"/>
    </row>
    <row r="39" spans="1:10" x14ac:dyDescent="0.25">
      <c r="A39" s="6">
        <v>150062</v>
      </c>
      <c r="B39" s="2" t="s">
        <v>1</v>
      </c>
      <c r="C39" s="3" t="s">
        <v>32</v>
      </c>
      <c r="D39" t="s">
        <v>20</v>
      </c>
      <c r="E39">
        <v>1</v>
      </c>
      <c r="F39" s="1">
        <v>2.4</v>
      </c>
      <c r="G39" s="1">
        <f>Bakery[[#This Row],[Quantity]]*Bakery[[#This Row],[Unit_Price]]</f>
        <v>2.4</v>
      </c>
      <c r="J39" s="1"/>
    </row>
    <row r="40" spans="1:10" x14ac:dyDescent="0.25">
      <c r="A40" s="6">
        <v>150062</v>
      </c>
      <c r="B40" s="2" t="s">
        <v>1</v>
      </c>
      <c r="C40" s="3" t="s">
        <v>32</v>
      </c>
      <c r="D40" t="s">
        <v>21</v>
      </c>
      <c r="E40">
        <v>3</v>
      </c>
      <c r="F40" s="1">
        <v>0.15</v>
      </c>
      <c r="G40" s="1">
        <f>Bakery[[#This Row],[Quantity]]*Bakery[[#This Row],[Unit_Price]]</f>
        <v>0.44999999999999996</v>
      </c>
      <c r="J40" s="1"/>
    </row>
    <row r="41" spans="1:10" x14ac:dyDescent="0.25">
      <c r="A41" s="6">
        <v>150062</v>
      </c>
      <c r="B41" s="2" t="s">
        <v>1</v>
      </c>
      <c r="C41" s="3" t="s">
        <v>32</v>
      </c>
      <c r="D41" t="s">
        <v>33</v>
      </c>
      <c r="E41">
        <v>2</v>
      </c>
      <c r="F41" s="1">
        <v>1.5</v>
      </c>
      <c r="G41" s="1">
        <f>Bakery[[#This Row],[Quantity]]*Bakery[[#This Row],[Unit_Price]]</f>
        <v>3</v>
      </c>
      <c r="J41" s="1"/>
    </row>
    <row r="42" spans="1:10" x14ac:dyDescent="0.25">
      <c r="A42" s="6">
        <v>150063</v>
      </c>
      <c r="B42" s="2" t="s">
        <v>1</v>
      </c>
      <c r="C42" s="3" t="s">
        <v>34</v>
      </c>
      <c r="D42" t="s">
        <v>21</v>
      </c>
      <c r="E42">
        <v>1</v>
      </c>
      <c r="F42" s="1">
        <v>0.15</v>
      </c>
      <c r="G42" s="1">
        <f>Bakery[[#This Row],[Quantity]]*Bakery[[#This Row],[Unit_Price]]</f>
        <v>0.15</v>
      </c>
      <c r="J42" s="1"/>
    </row>
    <row r="43" spans="1:10" x14ac:dyDescent="0.25">
      <c r="A43" s="6">
        <v>150063</v>
      </c>
      <c r="B43" s="2" t="s">
        <v>1</v>
      </c>
      <c r="C43" s="3" t="s">
        <v>34</v>
      </c>
      <c r="D43" t="s">
        <v>35</v>
      </c>
      <c r="E43">
        <v>1</v>
      </c>
      <c r="F43" s="1">
        <v>12</v>
      </c>
      <c r="G43" s="1">
        <f>Bakery[[#This Row],[Quantity]]*Bakery[[#This Row],[Unit_Price]]</f>
        <v>12</v>
      </c>
      <c r="J43" s="1"/>
    </row>
    <row r="44" spans="1:10" x14ac:dyDescent="0.25">
      <c r="A44" s="6">
        <v>150063</v>
      </c>
      <c r="B44" s="2" t="s">
        <v>1</v>
      </c>
      <c r="C44" s="3" t="s">
        <v>34</v>
      </c>
      <c r="D44" t="s">
        <v>36</v>
      </c>
      <c r="E44">
        <v>1</v>
      </c>
      <c r="F44" s="1">
        <v>1.8</v>
      </c>
      <c r="G44" s="1">
        <f>Bakery[[#This Row],[Quantity]]*Bakery[[#This Row],[Unit_Price]]</f>
        <v>1.8</v>
      </c>
      <c r="J44" s="1"/>
    </row>
    <row r="45" spans="1:10" x14ac:dyDescent="0.25">
      <c r="A45" s="6">
        <v>150063</v>
      </c>
      <c r="B45" s="2" t="s">
        <v>1</v>
      </c>
      <c r="C45" s="3" t="s">
        <v>34</v>
      </c>
      <c r="D45" t="s">
        <v>21</v>
      </c>
      <c r="E45">
        <v>1</v>
      </c>
      <c r="F45" s="1">
        <v>0.15</v>
      </c>
      <c r="G45" s="1">
        <f>Bakery[[#This Row],[Quantity]]*Bakery[[#This Row],[Unit_Price]]</f>
        <v>0.15</v>
      </c>
      <c r="J45" s="1"/>
    </row>
    <row r="46" spans="1:10" x14ac:dyDescent="0.25">
      <c r="A46" s="6">
        <v>150063</v>
      </c>
      <c r="B46" s="2" t="s">
        <v>1</v>
      </c>
      <c r="C46" s="3" t="s">
        <v>34</v>
      </c>
      <c r="D46" t="s">
        <v>37</v>
      </c>
      <c r="E46">
        <v>1</v>
      </c>
      <c r="F46" s="1">
        <v>2</v>
      </c>
      <c r="G46" s="1">
        <f>Bakery[[#This Row],[Quantity]]*Bakery[[#This Row],[Unit_Price]]</f>
        <v>2</v>
      </c>
      <c r="J46" s="1"/>
    </row>
    <row r="47" spans="1:10" x14ac:dyDescent="0.25">
      <c r="A47" s="6">
        <v>150063</v>
      </c>
      <c r="B47" s="2" t="s">
        <v>1</v>
      </c>
      <c r="C47" s="3" t="s">
        <v>34</v>
      </c>
      <c r="D47" t="s">
        <v>8</v>
      </c>
      <c r="E47">
        <v>2</v>
      </c>
      <c r="F47" s="1">
        <v>1.2</v>
      </c>
      <c r="G47" s="1">
        <f>Bakery[[#This Row],[Quantity]]*Bakery[[#This Row],[Unit_Price]]</f>
        <v>2.4</v>
      </c>
      <c r="J47" s="1"/>
    </row>
    <row r="48" spans="1:10" x14ac:dyDescent="0.25">
      <c r="A48" s="6">
        <v>150064</v>
      </c>
      <c r="B48" s="2" t="s">
        <v>1</v>
      </c>
      <c r="C48" s="3" t="s">
        <v>38</v>
      </c>
      <c r="D48" t="s">
        <v>22</v>
      </c>
      <c r="E48">
        <v>1</v>
      </c>
      <c r="F48" s="1">
        <v>3.5</v>
      </c>
      <c r="G48" s="1">
        <f>Bakery[[#This Row],[Quantity]]*Bakery[[#This Row],[Unit_Price]]</f>
        <v>3.5</v>
      </c>
    </row>
    <row r="49" spans="1:7" x14ac:dyDescent="0.25">
      <c r="A49" s="6">
        <v>150065</v>
      </c>
      <c r="B49" s="2" t="s">
        <v>1</v>
      </c>
      <c r="C49" s="3" t="s">
        <v>38</v>
      </c>
      <c r="D49" t="s">
        <v>22</v>
      </c>
      <c r="E49">
        <v>1</v>
      </c>
      <c r="F49" s="1">
        <v>3.5</v>
      </c>
      <c r="G49" s="1">
        <f>Bakery[[#This Row],[Quantity]]*Bakery[[#This Row],[Unit_Price]]</f>
        <v>3.5</v>
      </c>
    </row>
    <row r="50" spans="1:7" x14ac:dyDescent="0.25">
      <c r="A50" s="6">
        <v>150065</v>
      </c>
      <c r="B50" s="2" t="s">
        <v>1</v>
      </c>
      <c r="C50" s="3" t="s">
        <v>38</v>
      </c>
      <c r="D50" t="s">
        <v>39</v>
      </c>
      <c r="E50">
        <v>2</v>
      </c>
      <c r="F50" s="1">
        <v>1</v>
      </c>
      <c r="G50" s="1">
        <f>Bakery[[#This Row],[Quantity]]*Bakery[[#This Row],[Unit_Price]]</f>
        <v>2</v>
      </c>
    </row>
    <row r="51" spans="1:7" x14ac:dyDescent="0.25">
      <c r="A51" s="6">
        <v>150066</v>
      </c>
      <c r="B51" s="2" t="s">
        <v>1</v>
      </c>
      <c r="C51" s="3" t="s">
        <v>40</v>
      </c>
      <c r="D51" t="s">
        <v>8</v>
      </c>
      <c r="E51">
        <v>1</v>
      </c>
      <c r="F51" s="1">
        <v>1.2</v>
      </c>
      <c r="G51" s="1">
        <f>Bakery[[#This Row],[Quantity]]*Bakery[[#This Row],[Unit_Price]]</f>
        <v>1.2</v>
      </c>
    </row>
    <row r="52" spans="1:7" x14ac:dyDescent="0.25">
      <c r="A52" s="6">
        <v>150066</v>
      </c>
      <c r="B52" s="2" t="s">
        <v>1</v>
      </c>
      <c r="C52" s="3" t="s">
        <v>40</v>
      </c>
      <c r="D52" t="s">
        <v>3</v>
      </c>
      <c r="E52">
        <v>1</v>
      </c>
      <c r="F52" s="1">
        <v>0.9</v>
      </c>
      <c r="G52" s="1">
        <f>Bakery[[#This Row],[Quantity]]*Bakery[[#This Row],[Unit_Price]]</f>
        <v>0.9</v>
      </c>
    </row>
    <row r="53" spans="1:7" x14ac:dyDescent="0.25">
      <c r="A53" s="6">
        <v>150066</v>
      </c>
      <c r="B53" s="2" t="s">
        <v>1</v>
      </c>
      <c r="C53" s="3" t="s">
        <v>40</v>
      </c>
      <c r="D53" t="s">
        <v>4</v>
      </c>
      <c r="E53">
        <v>2</v>
      </c>
      <c r="F53" s="1">
        <v>1.2</v>
      </c>
      <c r="G53" s="1">
        <f>Bakery[[#This Row],[Quantity]]*Bakery[[#This Row],[Unit_Price]]</f>
        <v>2.4</v>
      </c>
    </row>
    <row r="54" spans="1:7" x14ac:dyDescent="0.25">
      <c r="A54" s="6">
        <v>150066</v>
      </c>
      <c r="B54" s="2" t="s">
        <v>1</v>
      </c>
      <c r="C54" s="3" t="s">
        <v>40</v>
      </c>
      <c r="D54" t="s">
        <v>9</v>
      </c>
      <c r="E54">
        <v>2</v>
      </c>
      <c r="F54" s="1">
        <v>1.1000000000000001</v>
      </c>
      <c r="G54" s="1">
        <f>Bakery[[#This Row],[Quantity]]*Bakery[[#This Row],[Unit_Price]]</f>
        <v>2.2000000000000002</v>
      </c>
    </row>
    <row r="55" spans="1:7" x14ac:dyDescent="0.25">
      <c r="A55" s="6">
        <v>150067</v>
      </c>
      <c r="B55" s="2" t="s">
        <v>1</v>
      </c>
      <c r="C55" s="3" t="s">
        <v>40</v>
      </c>
      <c r="D55" t="s">
        <v>9</v>
      </c>
      <c r="E55">
        <v>2</v>
      </c>
      <c r="F55" s="1">
        <v>1.1000000000000001</v>
      </c>
      <c r="G55" s="1">
        <f>Bakery[[#This Row],[Quantity]]*Bakery[[#This Row],[Unit_Price]]</f>
        <v>2.2000000000000002</v>
      </c>
    </row>
    <row r="56" spans="1:7" x14ac:dyDescent="0.25">
      <c r="A56" s="6">
        <v>150067</v>
      </c>
      <c r="B56" s="2" t="s">
        <v>1</v>
      </c>
      <c r="C56" s="3" t="s">
        <v>40</v>
      </c>
      <c r="D56" t="s">
        <v>8</v>
      </c>
      <c r="E56">
        <v>1</v>
      </c>
      <c r="F56" s="1">
        <v>1.2</v>
      </c>
      <c r="G56" s="1">
        <f>Bakery[[#This Row],[Quantity]]*Bakery[[#This Row],[Unit_Price]]</f>
        <v>1.2</v>
      </c>
    </row>
    <row r="57" spans="1:7" x14ac:dyDescent="0.25">
      <c r="A57" s="6">
        <v>150068</v>
      </c>
      <c r="B57" s="2" t="s">
        <v>1</v>
      </c>
      <c r="C57" s="3" t="s">
        <v>41</v>
      </c>
      <c r="D57" t="s">
        <v>19</v>
      </c>
      <c r="E57">
        <v>2</v>
      </c>
      <c r="F57" s="1">
        <v>0.6</v>
      </c>
      <c r="G57" s="1">
        <f>Bakery[[#This Row],[Quantity]]*Bakery[[#This Row],[Unit_Price]]</f>
        <v>1.2</v>
      </c>
    </row>
    <row r="58" spans="1:7" x14ac:dyDescent="0.25">
      <c r="A58" s="6">
        <v>150069</v>
      </c>
      <c r="B58" s="2" t="s">
        <v>1</v>
      </c>
      <c r="C58" s="3" t="s">
        <v>42</v>
      </c>
      <c r="D58" t="s">
        <v>11</v>
      </c>
      <c r="E58">
        <v>1</v>
      </c>
      <c r="F58" s="1">
        <v>1.05</v>
      </c>
      <c r="G58" s="1">
        <f>Bakery[[#This Row],[Quantity]]*Bakery[[#This Row],[Unit_Price]]</f>
        <v>1.05</v>
      </c>
    </row>
    <row r="59" spans="1:7" x14ac:dyDescent="0.25">
      <c r="A59" s="6">
        <v>150069</v>
      </c>
      <c r="B59" s="2" t="s">
        <v>1</v>
      </c>
      <c r="C59" s="3" t="s">
        <v>42</v>
      </c>
      <c r="D59" t="s">
        <v>24</v>
      </c>
      <c r="E59">
        <v>2</v>
      </c>
      <c r="F59" s="1">
        <v>2.1</v>
      </c>
      <c r="G59" s="1">
        <f>Bakery[[#This Row],[Quantity]]*Bakery[[#This Row],[Unit_Price]]</f>
        <v>4.2</v>
      </c>
    </row>
    <row r="60" spans="1:7" x14ac:dyDescent="0.25">
      <c r="A60" s="6">
        <v>150069</v>
      </c>
      <c r="B60" s="2" t="s">
        <v>1</v>
      </c>
      <c r="C60" s="3" t="s">
        <v>42</v>
      </c>
      <c r="D60" t="s">
        <v>43</v>
      </c>
      <c r="E60">
        <v>1</v>
      </c>
      <c r="F60" s="1">
        <v>5</v>
      </c>
      <c r="G60" s="1">
        <f>Bakery[[#This Row],[Quantity]]*Bakery[[#This Row],[Unit_Price]]</f>
        <v>5</v>
      </c>
    </row>
    <row r="61" spans="1:7" x14ac:dyDescent="0.25">
      <c r="A61" s="6">
        <v>150069</v>
      </c>
      <c r="B61" s="2" t="s">
        <v>1</v>
      </c>
      <c r="C61" s="3" t="s">
        <v>42</v>
      </c>
      <c r="D61" t="s">
        <v>44</v>
      </c>
      <c r="E61">
        <v>2</v>
      </c>
      <c r="F61" s="1">
        <v>1.25</v>
      </c>
      <c r="G61" s="1">
        <f>Bakery[[#This Row],[Quantity]]*Bakery[[#This Row],[Unit_Price]]</f>
        <v>2.5</v>
      </c>
    </row>
    <row r="62" spans="1:7" x14ac:dyDescent="0.25">
      <c r="A62" s="6">
        <v>150070</v>
      </c>
      <c r="B62" s="2" t="s">
        <v>1</v>
      </c>
      <c r="C62" s="3" t="s">
        <v>45</v>
      </c>
      <c r="D62" t="s">
        <v>9</v>
      </c>
      <c r="E62">
        <v>2</v>
      </c>
      <c r="F62" s="1">
        <v>1.1000000000000001</v>
      </c>
      <c r="G62" s="1">
        <f>Bakery[[#This Row],[Quantity]]*Bakery[[#This Row],[Unit_Price]]</f>
        <v>2.2000000000000002</v>
      </c>
    </row>
    <row r="63" spans="1:7" x14ac:dyDescent="0.25">
      <c r="A63" s="6">
        <v>150070</v>
      </c>
      <c r="B63" s="2" t="s">
        <v>1</v>
      </c>
      <c r="C63" s="3" t="s">
        <v>45</v>
      </c>
      <c r="D63" t="s">
        <v>11</v>
      </c>
      <c r="E63">
        <v>1</v>
      </c>
      <c r="F63" s="1">
        <v>1.05</v>
      </c>
      <c r="G63" s="1">
        <f>Bakery[[#This Row],[Quantity]]*Bakery[[#This Row],[Unit_Price]]</f>
        <v>1.05</v>
      </c>
    </row>
    <row r="64" spans="1:7" x14ac:dyDescent="0.25">
      <c r="A64" s="6">
        <v>150070</v>
      </c>
      <c r="B64" s="2" t="s">
        <v>1</v>
      </c>
      <c r="C64" s="3" t="s">
        <v>45</v>
      </c>
      <c r="D64" t="s">
        <v>4</v>
      </c>
      <c r="E64">
        <v>2</v>
      </c>
      <c r="F64" s="1">
        <v>1.2</v>
      </c>
      <c r="G64" s="1">
        <f>Bakery[[#This Row],[Quantity]]*Bakery[[#This Row],[Unit_Price]]</f>
        <v>2.4</v>
      </c>
    </row>
    <row r="65" spans="1:7" x14ac:dyDescent="0.25">
      <c r="A65" s="6">
        <v>150071</v>
      </c>
      <c r="B65" s="2" t="s">
        <v>1</v>
      </c>
      <c r="C65" s="3" t="s">
        <v>46</v>
      </c>
      <c r="D65" t="s">
        <v>8</v>
      </c>
      <c r="E65">
        <v>2</v>
      </c>
      <c r="F65" s="1">
        <v>1.2</v>
      </c>
      <c r="G65" s="1">
        <f>Bakery[[#This Row],[Quantity]]*Bakery[[#This Row],[Unit_Price]]</f>
        <v>2.4</v>
      </c>
    </row>
    <row r="66" spans="1:7" x14ac:dyDescent="0.25">
      <c r="A66" s="6">
        <v>150071</v>
      </c>
      <c r="B66" s="2" t="s">
        <v>1</v>
      </c>
      <c r="C66" s="3" t="s">
        <v>46</v>
      </c>
      <c r="D66" t="s">
        <v>4</v>
      </c>
      <c r="E66">
        <v>4</v>
      </c>
      <c r="F66" s="1">
        <v>1.2</v>
      </c>
      <c r="G66" s="1">
        <f>Bakery[[#This Row],[Quantity]]*Bakery[[#This Row],[Unit_Price]]</f>
        <v>4.8</v>
      </c>
    </row>
    <row r="67" spans="1:7" x14ac:dyDescent="0.25">
      <c r="A67" s="6">
        <v>150071</v>
      </c>
      <c r="B67" s="2" t="s">
        <v>1</v>
      </c>
      <c r="C67" s="3" t="s">
        <v>46</v>
      </c>
      <c r="D67" t="s">
        <v>9</v>
      </c>
      <c r="E67">
        <v>2</v>
      </c>
      <c r="F67" s="1">
        <v>1.1000000000000001</v>
      </c>
      <c r="G67" s="1">
        <f>Bakery[[#This Row],[Quantity]]*Bakery[[#This Row],[Unit_Price]]</f>
        <v>2.2000000000000002</v>
      </c>
    </row>
    <row r="68" spans="1:7" x14ac:dyDescent="0.25">
      <c r="A68" s="6">
        <v>150072</v>
      </c>
      <c r="B68" s="2" t="s">
        <v>1</v>
      </c>
      <c r="C68" s="3" t="s">
        <v>47</v>
      </c>
      <c r="D68" t="s">
        <v>8</v>
      </c>
      <c r="E68">
        <v>1</v>
      </c>
      <c r="F68" s="1">
        <v>1.2</v>
      </c>
      <c r="G68" s="1">
        <f>Bakery[[#This Row],[Quantity]]*Bakery[[#This Row],[Unit_Price]]</f>
        <v>1.2</v>
      </c>
    </row>
    <row r="69" spans="1:7" x14ac:dyDescent="0.25">
      <c r="A69" s="6">
        <v>150073</v>
      </c>
      <c r="B69" s="2" t="s">
        <v>1</v>
      </c>
      <c r="C69" s="3" t="s">
        <v>48</v>
      </c>
      <c r="D69" t="s">
        <v>8</v>
      </c>
      <c r="E69">
        <v>1</v>
      </c>
      <c r="F69" s="1">
        <v>1.2</v>
      </c>
      <c r="G69" s="1">
        <f>Bakery[[#This Row],[Quantity]]*Bakery[[#This Row],[Unit_Price]]</f>
        <v>1.2</v>
      </c>
    </row>
    <row r="70" spans="1:7" x14ac:dyDescent="0.25">
      <c r="A70" s="6">
        <v>150074</v>
      </c>
      <c r="B70" s="2" t="s">
        <v>1</v>
      </c>
      <c r="C70" s="3" t="s">
        <v>49</v>
      </c>
      <c r="D70" t="s">
        <v>19</v>
      </c>
      <c r="E70">
        <v>1</v>
      </c>
      <c r="F70" s="1">
        <v>0.6</v>
      </c>
      <c r="G70" s="1">
        <f>Bakery[[#This Row],[Quantity]]*Bakery[[#This Row],[Unit_Price]]</f>
        <v>0.6</v>
      </c>
    </row>
    <row r="71" spans="1:7" x14ac:dyDescent="0.25">
      <c r="A71" s="6">
        <v>150075</v>
      </c>
      <c r="B71" s="2" t="s">
        <v>1</v>
      </c>
      <c r="C71" s="3" t="s">
        <v>50</v>
      </c>
      <c r="D71" t="s">
        <v>21</v>
      </c>
      <c r="E71">
        <v>1</v>
      </c>
      <c r="F71" s="1">
        <v>0.15</v>
      </c>
      <c r="G71" s="1">
        <f>Bakery[[#This Row],[Quantity]]*Bakery[[#This Row],[Unit_Price]]</f>
        <v>0.15</v>
      </c>
    </row>
    <row r="72" spans="1:7" x14ac:dyDescent="0.25">
      <c r="A72" s="6">
        <v>150075</v>
      </c>
      <c r="B72" s="2" t="s">
        <v>1</v>
      </c>
      <c r="C72" s="3" t="s">
        <v>50</v>
      </c>
      <c r="D72" t="s">
        <v>51</v>
      </c>
      <c r="E72">
        <v>1</v>
      </c>
      <c r="F72" s="1">
        <v>1.8</v>
      </c>
      <c r="G72" s="1">
        <f>Bakery[[#This Row],[Quantity]]*Bakery[[#This Row],[Unit_Price]]</f>
        <v>1.8</v>
      </c>
    </row>
    <row r="73" spans="1:7" x14ac:dyDescent="0.25">
      <c r="A73" s="6">
        <v>150076</v>
      </c>
      <c r="B73" s="2" t="s">
        <v>1</v>
      </c>
      <c r="C73" s="3" t="s">
        <v>52</v>
      </c>
      <c r="D73" t="s">
        <v>8</v>
      </c>
      <c r="E73">
        <v>2</v>
      </c>
      <c r="F73" s="1">
        <v>1.2</v>
      </c>
      <c r="G73" s="1">
        <f>Bakery[[#This Row],[Quantity]]*Bakery[[#This Row],[Unit_Price]]</f>
        <v>2.4</v>
      </c>
    </row>
    <row r="74" spans="1:7" x14ac:dyDescent="0.25">
      <c r="A74" s="6">
        <v>150077</v>
      </c>
      <c r="B74" s="2" t="s">
        <v>1</v>
      </c>
      <c r="C74" s="3" t="s">
        <v>53</v>
      </c>
      <c r="D74" t="s">
        <v>54</v>
      </c>
      <c r="E74">
        <v>1</v>
      </c>
      <c r="F74" s="1">
        <v>1.5</v>
      </c>
      <c r="G74" s="1">
        <f>Bakery[[#This Row],[Quantity]]*Bakery[[#This Row],[Unit_Price]]</f>
        <v>1.5</v>
      </c>
    </row>
    <row r="75" spans="1:7" x14ac:dyDescent="0.25">
      <c r="A75" s="6">
        <v>150077</v>
      </c>
      <c r="B75" s="2" t="s">
        <v>1</v>
      </c>
      <c r="C75" s="3" t="s">
        <v>53</v>
      </c>
      <c r="D75" t="s">
        <v>4</v>
      </c>
      <c r="E75">
        <v>2</v>
      </c>
      <c r="F75" s="1">
        <v>1.2</v>
      </c>
      <c r="G75" s="1">
        <f>Bakery[[#This Row],[Quantity]]*Bakery[[#This Row],[Unit_Price]]</f>
        <v>2.4</v>
      </c>
    </row>
    <row r="76" spans="1:7" x14ac:dyDescent="0.25">
      <c r="A76" s="6">
        <v>150077</v>
      </c>
      <c r="B76" s="2" t="s">
        <v>1</v>
      </c>
      <c r="C76" s="3" t="s">
        <v>53</v>
      </c>
      <c r="D76" t="s">
        <v>9</v>
      </c>
      <c r="E76">
        <v>2</v>
      </c>
      <c r="F76" s="1">
        <v>1.1000000000000001</v>
      </c>
      <c r="G76" s="1">
        <f>Bakery[[#This Row],[Quantity]]*Bakery[[#This Row],[Unit_Price]]</f>
        <v>2.2000000000000002</v>
      </c>
    </row>
    <row r="77" spans="1:7" x14ac:dyDescent="0.25">
      <c r="A77" s="6">
        <v>150078</v>
      </c>
      <c r="B77" s="2" t="s">
        <v>1</v>
      </c>
      <c r="C77" s="3" t="s">
        <v>55</v>
      </c>
      <c r="D77" t="s">
        <v>8</v>
      </c>
      <c r="E77">
        <v>1</v>
      </c>
      <c r="F77" s="1">
        <v>1.2</v>
      </c>
      <c r="G77" s="1">
        <f>Bakery[[#This Row],[Quantity]]*Bakery[[#This Row],[Unit_Price]]</f>
        <v>1.2</v>
      </c>
    </row>
    <row r="78" spans="1:7" x14ac:dyDescent="0.25">
      <c r="A78" s="6">
        <v>150078</v>
      </c>
      <c r="B78" s="2" t="s">
        <v>1</v>
      </c>
      <c r="C78" s="3" t="s">
        <v>55</v>
      </c>
      <c r="D78" t="s">
        <v>35</v>
      </c>
      <c r="E78">
        <v>1</v>
      </c>
      <c r="F78" s="1">
        <v>12</v>
      </c>
      <c r="G78" s="1">
        <f>Bakery[[#This Row],[Quantity]]*Bakery[[#This Row],[Unit_Price]]</f>
        <v>12</v>
      </c>
    </row>
    <row r="79" spans="1:7" x14ac:dyDescent="0.25">
      <c r="A79" s="6">
        <v>150079</v>
      </c>
      <c r="B79" s="2" t="s">
        <v>1</v>
      </c>
      <c r="C79" s="3" t="s">
        <v>56</v>
      </c>
      <c r="D79" t="s">
        <v>3</v>
      </c>
      <c r="E79">
        <v>1</v>
      </c>
      <c r="F79" s="1">
        <v>0.9</v>
      </c>
      <c r="G79" s="1">
        <f>Bakery[[#This Row],[Quantity]]*Bakery[[#This Row],[Unit_Price]]</f>
        <v>0.9</v>
      </c>
    </row>
    <row r="80" spans="1:7" x14ac:dyDescent="0.25">
      <c r="A80" s="6">
        <v>150079</v>
      </c>
      <c r="B80" s="2" t="s">
        <v>1</v>
      </c>
      <c r="C80" s="3" t="s">
        <v>56</v>
      </c>
      <c r="D80" t="s">
        <v>57</v>
      </c>
      <c r="E80">
        <v>1</v>
      </c>
      <c r="F80" s="1">
        <v>0</v>
      </c>
      <c r="G80" s="1">
        <f>Bakery[[#This Row],[Quantity]]*Bakery[[#This Row],[Unit_Price]]</f>
        <v>0</v>
      </c>
    </row>
    <row r="81" spans="1:7" x14ac:dyDescent="0.25">
      <c r="A81" s="6">
        <v>150079</v>
      </c>
      <c r="B81" s="2" t="s">
        <v>1</v>
      </c>
      <c r="C81" s="3" t="s">
        <v>56</v>
      </c>
      <c r="D81" t="s">
        <v>20</v>
      </c>
      <c r="E81">
        <v>1</v>
      </c>
      <c r="F81" s="1">
        <v>2.4</v>
      </c>
      <c r="G81" s="1">
        <f>Bakery[[#This Row],[Quantity]]*Bakery[[#This Row],[Unit_Price]]</f>
        <v>2.4</v>
      </c>
    </row>
    <row r="82" spans="1:7" x14ac:dyDescent="0.25">
      <c r="A82" s="6">
        <v>150079</v>
      </c>
      <c r="B82" s="2" t="s">
        <v>1</v>
      </c>
      <c r="C82" s="3" t="s">
        <v>56</v>
      </c>
      <c r="D82" t="s">
        <v>58</v>
      </c>
      <c r="E82">
        <v>1</v>
      </c>
      <c r="F82" s="1">
        <v>8</v>
      </c>
      <c r="G82" s="1">
        <f>Bakery[[#This Row],[Quantity]]*Bakery[[#This Row],[Unit_Price]]</f>
        <v>8</v>
      </c>
    </row>
    <row r="83" spans="1:7" x14ac:dyDescent="0.25">
      <c r="A83" s="6">
        <v>150080</v>
      </c>
      <c r="B83" s="2" t="s">
        <v>1</v>
      </c>
      <c r="C83" s="3" t="s">
        <v>59</v>
      </c>
      <c r="D83" t="s">
        <v>8</v>
      </c>
      <c r="E83">
        <v>2</v>
      </c>
      <c r="F83" s="1">
        <v>1.2</v>
      </c>
      <c r="G83" s="1">
        <f>Bakery[[#This Row],[Quantity]]*Bakery[[#This Row],[Unit_Price]]</f>
        <v>2.4</v>
      </c>
    </row>
    <row r="84" spans="1:7" x14ac:dyDescent="0.25">
      <c r="A84" s="6">
        <v>150080</v>
      </c>
      <c r="B84" s="2" t="s">
        <v>1</v>
      </c>
      <c r="C84" s="3" t="s">
        <v>59</v>
      </c>
      <c r="D84" t="s">
        <v>9</v>
      </c>
      <c r="E84">
        <v>3</v>
      </c>
      <c r="F84" s="1">
        <v>1.1000000000000001</v>
      </c>
      <c r="G84" s="1">
        <f>Bakery[[#This Row],[Quantity]]*Bakery[[#This Row],[Unit_Price]]</f>
        <v>3.3000000000000003</v>
      </c>
    </row>
    <row r="85" spans="1:7" x14ac:dyDescent="0.25">
      <c r="A85" s="6">
        <v>150081</v>
      </c>
      <c r="B85" s="2" t="s">
        <v>1</v>
      </c>
      <c r="C85" s="3" t="s">
        <v>60</v>
      </c>
      <c r="D85" t="s">
        <v>8</v>
      </c>
      <c r="E85">
        <v>1</v>
      </c>
      <c r="F85" s="1">
        <v>1.2</v>
      </c>
      <c r="G85" s="1">
        <f>Bakery[[#This Row],[Quantity]]*Bakery[[#This Row],[Unit_Price]]</f>
        <v>1.2</v>
      </c>
    </row>
    <row r="86" spans="1:7" x14ac:dyDescent="0.25">
      <c r="A86" s="6">
        <v>150082</v>
      </c>
      <c r="B86" s="2" t="s">
        <v>1</v>
      </c>
      <c r="C86" s="3" t="s">
        <v>60</v>
      </c>
      <c r="D86" t="s">
        <v>8</v>
      </c>
      <c r="E86">
        <v>4</v>
      </c>
      <c r="F86" s="1">
        <v>1.2</v>
      </c>
      <c r="G86" s="1">
        <f>Bakery[[#This Row],[Quantity]]*Bakery[[#This Row],[Unit_Price]]</f>
        <v>4.8</v>
      </c>
    </row>
    <row r="87" spans="1:7" x14ac:dyDescent="0.25">
      <c r="A87" s="6">
        <v>150083</v>
      </c>
      <c r="B87" s="2" t="s">
        <v>1</v>
      </c>
      <c r="C87" s="3" t="s">
        <v>60</v>
      </c>
      <c r="D87" t="s">
        <v>8</v>
      </c>
      <c r="E87">
        <v>1</v>
      </c>
      <c r="F87" s="1">
        <v>1.2</v>
      </c>
      <c r="G87" s="1">
        <f>Bakery[[#This Row],[Quantity]]*Bakery[[#This Row],[Unit_Price]]</f>
        <v>1.2</v>
      </c>
    </row>
    <row r="88" spans="1:7" x14ac:dyDescent="0.25">
      <c r="A88" s="6">
        <v>150084</v>
      </c>
      <c r="B88" s="2" t="s">
        <v>1</v>
      </c>
      <c r="C88" s="3" t="s">
        <v>61</v>
      </c>
      <c r="D88" t="s">
        <v>44</v>
      </c>
      <c r="E88">
        <v>1</v>
      </c>
      <c r="F88" s="1">
        <v>1.25</v>
      </c>
      <c r="G88" s="1">
        <f>Bakery[[#This Row],[Quantity]]*Bakery[[#This Row],[Unit_Price]]</f>
        <v>1.25</v>
      </c>
    </row>
    <row r="89" spans="1:7" x14ac:dyDescent="0.25">
      <c r="A89" s="6">
        <v>150084</v>
      </c>
      <c r="B89" s="2" t="s">
        <v>1</v>
      </c>
      <c r="C89" s="3" t="s">
        <v>61</v>
      </c>
      <c r="D89" t="s">
        <v>62</v>
      </c>
      <c r="E89">
        <v>1</v>
      </c>
      <c r="F89" s="1">
        <v>1</v>
      </c>
      <c r="G89" s="1">
        <f>Bakery[[#This Row],[Quantity]]*Bakery[[#This Row],[Unit_Price]]</f>
        <v>1</v>
      </c>
    </row>
    <row r="90" spans="1:7" x14ac:dyDescent="0.25">
      <c r="A90" s="6">
        <v>150084</v>
      </c>
      <c r="B90" s="2" t="s">
        <v>1</v>
      </c>
      <c r="C90" s="3" t="s">
        <v>61</v>
      </c>
      <c r="D90" t="s">
        <v>4</v>
      </c>
      <c r="E90">
        <v>4</v>
      </c>
      <c r="F90" s="1">
        <v>1.2</v>
      </c>
      <c r="G90" s="1">
        <f>Bakery[[#This Row],[Quantity]]*Bakery[[#This Row],[Unit_Price]]</f>
        <v>4.8</v>
      </c>
    </row>
    <row r="91" spans="1:7" x14ac:dyDescent="0.25">
      <c r="A91" s="6">
        <v>150084</v>
      </c>
      <c r="B91" s="2" t="s">
        <v>1</v>
      </c>
      <c r="C91" s="3" t="s">
        <v>61</v>
      </c>
      <c r="D91" t="s">
        <v>9</v>
      </c>
      <c r="E91">
        <v>4</v>
      </c>
      <c r="F91" s="1">
        <v>1.1000000000000001</v>
      </c>
      <c r="G91" s="1">
        <f>Bakery[[#This Row],[Quantity]]*Bakery[[#This Row],[Unit_Price]]</f>
        <v>4.4000000000000004</v>
      </c>
    </row>
    <row r="92" spans="1:7" x14ac:dyDescent="0.25">
      <c r="A92" s="6">
        <v>150085</v>
      </c>
      <c r="B92" s="2" t="s">
        <v>1</v>
      </c>
      <c r="C92" s="3" t="s">
        <v>63</v>
      </c>
      <c r="D92" t="s">
        <v>8</v>
      </c>
      <c r="E92">
        <v>4</v>
      </c>
      <c r="F92" s="1">
        <v>1.2</v>
      </c>
      <c r="G92" s="1">
        <f>Bakery[[#This Row],[Quantity]]*Bakery[[#This Row],[Unit_Price]]</f>
        <v>4.8</v>
      </c>
    </row>
    <row r="93" spans="1:7" x14ac:dyDescent="0.25">
      <c r="A93" s="6">
        <v>150086</v>
      </c>
      <c r="B93" s="2" t="s">
        <v>1</v>
      </c>
      <c r="C93" s="3" t="s">
        <v>64</v>
      </c>
      <c r="D93" t="s">
        <v>4</v>
      </c>
      <c r="E93">
        <v>1</v>
      </c>
      <c r="F93" s="1">
        <v>1.2</v>
      </c>
      <c r="G93" s="1">
        <f>Bakery[[#This Row],[Quantity]]*Bakery[[#This Row],[Unit_Price]]</f>
        <v>1.2</v>
      </c>
    </row>
    <row r="94" spans="1:7" x14ac:dyDescent="0.25">
      <c r="A94" s="6">
        <v>150086</v>
      </c>
      <c r="B94" s="2" t="s">
        <v>1</v>
      </c>
      <c r="C94" s="3" t="s">
        <v>64</v>
      </c>
      <c r="D94" t="s">
        <v>44</v>
      </c>
      <c r="E94">
        <v>1</v>
      </c>
      <c r="F94" s="1">
        <v>1.25</v>
      </c>
      <c r="G94" s="1">
        <f>Bakery[[#This Row],[Quantity]]*Bakery[[#This Row],[Unit_Price]]</f>
        <v>1.25</v>
      </c>
    </row>
    <row r="95" spans="1:7" x14ac:dyDescent="0.25">
      <c r="A95" s="6">
        <v>150086</v>
      </c>
      <c r="B95" s="2" t="s">
        <v>1</v>
      </c>
      <c r="C95" s="3" t="s">
        <v>64</v>
      </c>
      <c r="D95" t="s">
        <v>9</v>
      </c>
      <c r="E95">
        <v>2</v>
      </c>
      <c r="F95" s="1">
        <v>1.1000000000000001</v>
      </c>
      <c r="G95" s="1">
        <f>Bakery[[#This Row],[Quantity]]*Bakery[[#This Row],[Unit_Price]]</f>
        <v>2.2000000000000002</v>
      </c>
    </row>
    <row r="96" spans="1:7" x14ac:dyDescent="0.25">
      <c r="A96" s="6">
        <v>150087</v>
      </c>
      <c r="B96" s="2" t="s">
        <v>1</v>
      </c>
      <c r="C96" s="3" t="s">
        <v>65</v>
      </c>
      <c r="D96" t="s">
        <v>3</v>
      </c>
      <c r="E96">
        <v>2</v>
      </c>
      <c r="F96" s="1">
        <v>0.9</v>
      </c>
      <c r="G96" s="1">
        <f>Bakery[[#This Row],[Quantity]]*Bakery[[#This Row],[Unit_Price]]</f>
        <v>1.8</v>
      </c>
    </row>
  </sheetData>
  <sheetProtection formatCells="0" formatColumns="0" formatRows="0" insertColumns="0" insertRows="0" insertHyperlinks="0" deleteColumns="0" deleteRows="0" sort="0" autoFilter="0" pivotTables="0"/>
  <conditionalFormatting sqref="E2:E96">
    <cfRule type="top10" dxfId="3" priority="1" bottom="1" rank="1"/>
    <cfRule type="top10" dxfId="2" priority="2" rank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BakerySalesMorning</vt:lpstr>
      <vt:lpstr>Quantity</vt:lpstr>
      <vt:lpstr>Unit_Price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Saharsh Jakkula</cp:lastModifiedBy>
  <dcterms:created xsi:type="dcterms:W3CDTF">2025-09-15T15:04:43Z</dcterms:created>
  <dcterms:modified xsi:type="dcterms:W3CDTF">2025-09-17T01:06:28Z</dcterms:modified>
  <cp:category/>
</cp:coreProperties>
</file>